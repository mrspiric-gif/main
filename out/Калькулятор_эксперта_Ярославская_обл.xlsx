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Настройки" sheetId="1" state="visible" r:id="rId3"/>
    <sheet name="Накладные расходы" sheetId="2" state="visible" r:id="rId4"/>
    <sheet name="Рынок ЯО" sheetId="3" state="visible" r:id="rId5"/>
    <sheet name="Расстояния ЯО" sheetId="4" state="visible" r:id="rId6"/>
    <sheet name="Обследование зданий" sheetId="5" state="visible" r:id="rId7"/>
    <sheet name="Экспертиза залива" sheetId="6" state="visible" r:id="rId8"/>
    <sheet name="Осмотр перед покупкой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<sst xmlns="http://schemas.openxmlformats.org/spreadsheetml/2006/main" count="315" uniqueCount="209">
  <si>
    <t xml:space="preserve">КАЛЬКУЛЯТОР СТОИМОСТИ УСЛУГ СТРОИТЕЛЬНОГО ЭКСПЕРТА</t>
  </si>
  <si>
    <t xml:space="preserve">ИП, УСН «доходы» 6%  •  Ярославская область  •  работа для себя, без привлечения сторонних специалистов  •  ставки задаются здесь</t>
  </si>
  <si>
    <t xml:space="preserve">Параметр</t>
  </si>
  <si>
    <t xml:space="preserve">Значение</t>
  </si>
  <si>
    <t xml:space="preserve">Пояснение</t>
  </si>
  <si>
    <t xml:space="preserve">⚙  1. БАЗОВЫЕ СТАВКИ</t>
  </si>
  <si>
    <t xml:space="preserve">Ставка часа работы эксперта, ₽/час</t>
  </si>
  <si>
    <t xml:space="preserve">Ваша базовая ставка. От неё считаются все виды работ на трёх листах-калькуляторах.</t>
  </si>
  <si>
    <t xml:space="preserve">Стоимость 1 км пробега (топливо + амортизация авто), ₽/км</t>
  </si>
  <si>
    <t xml:space="preserve">ЯО, осень 2026: АИ-95 ≈ 67–70 ₽/л × 9 л/100 км ≈ 6 ₽/км + амортизация/шины ≈ 6 ₽/км. ОСАГО и ТО — на листе «Накладные». Время в пути считается отдельно (ниже, п.6).</t>
  </si>
  <si>
    <t xml:space="preserve">📈  2. НАКЛАДНЫЕ РАСХОДЫ И НАЦЕНКА</t>
  </si>
  <si>
    <t xml:space="preserve">% накладных расходов (авто с листа «Накладные расходы»)</t>
  </si>
  <si>
    <t xml:space="preserve">Меняйте исходные данные на листе «Накладные расходы» — здесь пересчитается автоматически.</t>
  </si>
  <si>
    <t xml:space="preserve">% плановой наценки / прибыли</t>
  </si>
  <si>
    <t xml:space="preserve">Было 100%. Снижено до 30%, чтобы цены попали в рынок Ярославля (см. лист «Рынок ЯО»): рынок платит ≈1 400 ₽ за час вашей работы.</t>
  </si>
  <si>
    <t xml:space="preserve">% надбавки за срочность (осмотр/акт в течение суток)</t>
  </si>
  <si>
    <t xml:space="preserve">Применяется, если на листе-калькуляторе включена срочность.</t>
  </si>
  <si>
    <t xml:space="preserve">💸  3. НАЛОГООБЛОЖЕНИЕ</t>
  </si>
  <si>
    <t xml:space="preserve">Ставка налога УСН «доходы»</t>
  </si>
  <si>
    <t xml:space="preserve">В Ярославской области пониженной ставки для «доходов» нет (Закон ЯО № 69-з даёт льготы только для «доходы минус расходы»). Взносы ИП 2026: 57 390 ₽ + 1% сверх 300 тыс. — уменьшают налог полностью, поэтому 6% ≈ вся нагрузка.</t>
  </si>
  <si>
    <t xml:space="preserve">🧰  4. ДОПОЛНИТЕЛЬНОЕ ОБОРУДОВАНИЕ (тариф за использование при выезде, ₽)</t>
  </si>
  <si>
    <t xml:space="preserve">Влагомер</t>
  </si>
  <si>
    <t xml:space="preserve">Тепловизор</t>
  </si>
  <si>
    <t xml:space="preserve">Лазерный дальномер</t>
  </si>
  <si>
    <t xml:space="preserve">Эндоскоп (осмотр скрытых полостей)</t>
  </si>
  <si>
    <t xml:space="preserve">Эти суммы — ваша условная надбавка за использование инструмента (износ, время на замер). Правьте под себя.</t>
  </si>
  <si>
    <t xml:space="preserve">🖨  5. ОФОРМЛЕНИЕ ДОКУМЕНТОВ</t>
  </si>
  <si>
    <t xml:space="preserve">Стоимость печати/брошюровки 1 экземпляра акта, ₽</t>
  </si>
  <si>
    <t xml:space="preserve">Количество экземпляров по умолчанию</t>
  </si>
  <si>
    <t xml:space="preserve">Легенда:  🔵 синий текст на жёлтом = вводите вручную   ⚫ чёрный на зелёном = формула   🟢 зелёный на голубом = ссылка с другого листа</t>
  </si>
  <si>
    <t xml:space="preserve">📍  6. ЯРОСЛАВСКАЯ ОБЛАСТЬ — ВЫЕЗДЫ И ЦЕНА</t>
  </si>
  <si>
    <t xml:space="preserve">Средняя скорость в пути по области, км/ч</t>
  </si>
  <si>
    <t xml:space="preserve">Город + районные дороги. Время в пути оплачивается по часовой ставке и входит в стоимость транспорта на листах.</t>
  </si>
  <si>
    <t xml:space="preserve">Доля ставки за время в пути</t>
  </si>
  <si>
    <t xml:space="preserve">100% = час дороги стоит как час работы. Поставьте 50%, если хотите брать за дорогу дешевле.</t>
  </si>
  <si>
    <t xml:space="preserve">Округление итоговой цены вверх до, ₽</t>
  </si>
  <si>
    <t xml:space="preserve">Клиенту — круглая сумма.</t>
  </si>
  <si>
    <t xml:space="preserve">НАКЛАДНЫЕ РАСХОДЫ ИП (в месяц)</t>
  </si>
  <si>
    <t xml:space="preserve">Результат автоматически используется на листе «Настройки» (% накладных, ячейка C8)</t>
  </si>
  <si>
    <t xml:space="preserve">📞  1. ПОСТОЯННЫЕ ЕЖЕМЕСЯЧНЫЕ РАСХОДЫ</t>
  </si>
  <si>
    <t xml:space="preserve">Связь, интернет</t>
  </si>
  <si>
    <t xml:space="preserve">Реклама, сайт, визитки</t>
  </si>
  <si>
    <t xml:space="preserve">Бухгалтерия / налоговый учёт</t>
  </si>
  <si>
    <t xml:space="preserve">Банковское обслуживание / эквайринг</t>
  </si>
  <si>
    <t xml:space="preserve">Аренда офиса / коворкинга (если есть)</t>
  </si>
  <si>
    <t xml:space="preserve">Итого постоянные расходы</t>
  </si>
  <si>
    <t xml:space="preserve">🔧  2. АМОРТИЗАЦИЯ ИНСТРУМЕНТА</t>
  </si>
  <si>
    <t xml:space="preserve">Стоимость инструмента (влагомер, дальномер, тепловизор и т.д.), ₽</t>
  </si>
  <si>
    <t xml:space="preserve">Срок службы, лет</t>
  </si>
  <si>
    <t xml:space="preserve">Амортизация инструмента в месяц (расчёт)</t>
  </si>
  <si>
    <t xml:space="preserve">🚗  3. АВТОМОБИЛЬ (без топлива — оно считается по км в заказах)</t>
  </si>
  <si>
    <t xml:space="preserve">ОСАГО, ТО, ремонт — в год, ₽</t>
  </si>
  <si>
    <t xml:space="preserve">Амортизация автомобиля — в год, ₽</t>
  </si>
  <si>
    <t xml:space="preserve">Оставьте 0: амортизация авто уже заложена в ₽/км на листе «Настройки».</t>
  </si>
  <si>
    <t xml:space="preserve">Итого авто в месяц (расчёт)</t>
  </si>
  <si>
    <t xml:space="preserve">📜  4. СТРАХОВАНИЕ / ЧЛЕНСТВО (если есть, необязательно)</t>
  </si>
  <si>
    <t xml:space="preserve">Страхование профессиональной ответственности — в год, ₽</t>
  </si>
  <si>
    <t xml:space="preserve">Итого страхование в месяц (расчёт)</t>
  </si>
  <si>
    <t xml:space="preserve">ИТОГО НАКЛАДНЫХ РАСХОДОВ В МЕСЯЦ</t>
  </si>
  <si>
    <t xml:space="preserve">📊  5. РАСЧЁТ % НАКЛАДНЫХ ДЛЯ КАЛЬКУЛЯТОРА</t>
  </si>
  <si>
    <t xml:space="preserve">Плановая выручка от услуг в месяц, ₽</t>
  </si>
  <si>
    <t xml:space="preserve">Введите ожидаемый месячный оборот. Чем он выше, тем ниже % накладных на 1 заказ.</t>
  </si>
  <si>
    <t xml:space="preserve">Расчётный % накладных (на себестоимость заказа)</t>
  </si>
  <si>
    <t xml:space="preserve">Процент считается от прямых затрат: при выручке из C25 и наценке из «Настроек» накладные покрываются полностью.</t>
  </si>
  <si>
    <t xml:space="preserve">Часов работы в месяц для плановой выручки (≈)</t>
  </si>
  <si>
    <t xml:space="preserve">Норма рабочего времени ≈ 165 ч/мес. Если больше — план по выручке нереален при текущих ставках.</t>
  </si>
  <si>
    <t xml:space="preserve">ЦЕНЫ КОНКУРЕНТОВ — ЯРОСЛАВЛЬ И ОБЛАСТЬ</t>
  </si>
  <si>
    <t xml:space="preserve">Открытые прайсы, поиск октябрь 2026. Цены «от» — нижняя граница; верхняя — оценка. Правьте под свои наблюдения.</t>
  </si>
  <si>
    <t xml:space="preserve">Услуга</t>
  </si>
  <si>
    <t xml:space="preserve">От, ₽</t>
  </si>
  <si>
    <t xml:space="preserve">До, ₽</t>
  </si>
  <si>
    <t xml:space="preserve">Откуда цифры</t>
  </si>
  <si>
    <t xml:space="preserve">Источник</t>
  </si>
  <si>
    <t xml:space="preserve">Обследование дома/здания, тех. заключение</t>
  </si>
  <si>
    <t xml:space="preserve">Общий осмотр 15–30 тыс.; с приборами и проверкой конструкций 30–80 тыс.; ФНЭ — от 20 тыс.</t>
  </si>
  <si>
    <t xml:space="preserve">yaroslavl.fesud.ru/obsledovanie-i-ekspertiza-doma</t>
  </si>
  <si>
    <t xml:space="preserve">Экспертиза залива (акт, причина, смета)</t>
  </si>
  <si>
    <t xml:space="preserve">Оценщики: ущерб от 6–8 тыс. (без причины); экспертные компании — от 20 тыс.</t>
  </si>
  <si>
    <t xml:space="preserve">expert-yaroslavl.ru/ekspertiza-zaliv</t>
  </si>
  <si>
    <t xml:space="preserve">Осмотр — Квартира (новостройка)</t>
  </si>
  <si>
    <t xml:space="preserve">Приёмка: 5 000 ₽ за 1-к + 1 000 ₽ за комнату, тепловизор в сезон</t>
  </si>
  <si>
    <t xml:space="preserve">uslugi.yandex.ru; profocenchik.ru/yaroslavl</t>
  </si>
  <si>
    <t xml:space="preserve">Осмотр — Квартира (вторичка)</t>
  </si>
  <si>
    <t xml:space="preserve">Мало данных — оценка между приёмкой и осмотром дома</t>
  </si>
  <si>
    <t xml:space="preserve">—</t>
  </si>
  <si>
    <t xml:space="preserve">Осмотр — Частный дом</t>
  </si>
  <si>
    <t xml:space="preserve">ФНЭ — от 20 тыс.; общий осмотр 15–30 тыс.</t>
  </si>
  <si>
    <t xml:space="preserve">yaroslavl.fesud.ru</t>
  </si>
  <si>
    <t xml:space="preserve">Осмотр — Нежилое помещение</t>
  </si>
  <si>
    <t xml:space="preserve">По аналогии с домом</t>
  </si>
  <si>
    <t xml:space="preserve">РАССТОЯНИЯ ОТ ЯРОСЛАВЛЯ (в одну сторону, по дороге)</t>
  </si>
  <si>
    <t xml:space="preserve">≈ ориентир. Уточните маршрут в Яндекс.Картах и поправьте цифру. Вписывайте км на листе расчёта.</t>
  </si>
  <si>
    <t xml:space="preserve">Населённый пункт</t>
  </si>
  <si>
    <t xml:space="preserve">км</t>
  </si>
  <si>
    <t xml:space="preserve">Время в пути туда-обратно</t>
  </si>
  <si>
    <t xml:space="preserve">Ярославль (в черте города)</t>
  </si>
  <si>
    <t xml:space="preserve">Ярославский р-н (пригород)</t>
  </si>
  <si>
    <t xml:space="preserve">Тутаев</t>
  </si>
  <si>
    <t xml:space="preserve">Гаврилов-Ям</t>
  </si>
  <si>
    <t xml:space="preserve">Некрасовское</t>
  </si>
  <si>
    <t xml:space="preserve">Большое Село</t>
  </si>
  <si>
    <t xml:space="preserve">Ростов</t>
  </si>
  <si>
    <t xml:space="preserve">Данилов</t>
  </si>
  <si>
    <t xml:space="preserve">Борисоглебский</t>
  </si>
  <si>
    <t xml:space="preserve">Рыбинск</t>
  </si>
  <si>
    <t xml:space="preserve">Любим</t>
  </si>
  <si>
    <t xml:space="preserve">Пречистое</t>
  </si>
  <si>
    <t xml:space="preserve">Мышкин</t>
  </si>
  <si>
    <t xml:space="preserve">Углич</t>
  </si>
  <si>
    <t xml:space="preserve">Переславль-Залесский</t>
  </si>
  <si>
    <t xml:space="preserve">Новый Некоуз</t>
  </si>
  <si>
    <t xml:space="preserve">Пошехонье</t>
  </si>
  <si>
    <t xml:space="preserve">Брейтово</t>
  </si>
  <si>
    <t xml:space="preserve">ОБСЛЕДОВАНИЕ ЗДАНИЙ И СООРУЖЕНИЙ — РАСЧЁТ СТОИМОСТИ</t>
  </si>
  <si>
    <t xml:space="preserve">Техническое состояние конструкций, дефекты, акт/техническое заключение  •  ставки — с листа «Настройки»</t>
  </si>
  <si>
    <t xml:space="preserve">Значение / Выбор</t>
  </si>
  <si>
    <t xml:space="preserve">Часов / ед.</t>
  </si>
  <si>
    <t xml:space="preserve">Стоимость, ₽</t>
  </si>
  <si>
    <t xml:space="preserve">🏢  1. ПАРАМЕТРЫ ОБЪЕКТА</t>
  </si>
  <si>
    <t xml:space="preserve">Тип объекта</t>
  </si>
  <si>
    <t xml:space="preserve">Частный дом</t>
  </si>
  <si>
    <t xml:space="preserve">Площадь объекта, м²</t>
  </si>
  <si>
    <t xml:space="preserve">Этаж / этажность</t>
  </si>
  <si>
    <t xml:space="preserve">Для домов — этажность, для квартир — этаж расположения (справочно)</t>
  </si>
  <si>
    <t xml:space="preserve">⏱  2. ТРУДОЗАТРАТЫ</t>
  </si>
  <si>
    <t xml:space="preserve">Выезд и визуальный осмотр, часов</t>
  </si>
  <si>
    <t xml:space="preserve">Норма доп. часов на каждые 50 м² сверх 50 м²</t>
  </si>
  <si>
    <t xml:space="preserve">Доп. часы по площади (расчёт)</t>
  </si>
  <si>
    <t xml:space="preserve">Инструментальные замеры (трещины, отклонения, влажность), часов</t>
  </si>
  <si>
    <t xml:space="preserve">Обработка данных и составление заключения, часов</t>
  </si>
  <si>
    <t xml:space="preserve">Итого часов и стоимость работ</t>
  </si>
  <si>
    <t xml:space="preserve">🧰  3. ДОПОЛНИТЕЛЬНОЕ ОБОРУДОВАНИЕ</t>
  </si>
  <si>
    <t xml:space="preserve">Влагомер?</t>
  </si>
  <si>
    <t xml:space="preserve">ДА</t>
  </si>
  <si>
    <t xml:space="preserve">Тепловизор?</t>
  </si>
  <si>
    <t xml:space="preserve">Лазерный дальномер?</t>
  </si>
  <si>
    <t xml:space="preserve">Эндоскоп (скрытые полости)?</t>
  </si>
  <si>
    <t xml:space="preserve">Итого дополнительное оборудование</t>
  </si>
  <si>
    <t xml:space="preserve">🚗  ВЫЕЗД И ТРАНСПОРТ</t>
  </si>
  <si>
    <t xml:space="preserve">Расстояние до объекта, км (в одну сторону)</t>
  </si>
  <si>
    <t xml:space="preserve">Ярославль ≈15 км, Рыбинск ≈85, Углич ≈120 — см. лист «Расстояния ЯО»</t>
  </si>
  <si>
    <t xml:space="preserve">Количество поездок (обычно 2 = туда-обратно)</t>
  </si>
  <si>
    <t xml:space="preserve">Транспорт + время в пути</t>
  </si>
  <si>
    <t xml:space="preserve">🖨  ОФОРМЛЕНИЕ ЗАКЛЮЧЕНИЯ</t>
  </si>
  <si>
    <t xml:space="preserve">Количество экземпляров</t>
  </si>
  <si>
    <t xml:space="preserve">Стоимость печати/брошюровки</t>
  </si>
  <si>
    <t xml:space="preserve">Срочность (осмотр/акт в течение суток)?</t>
  </si>
  <si>
    <t xml:space="preserve">НЕТ</t>
  </si>
  <si>
    <t xml:space="preserve">💰  6. ИТОГО — СВОДНЫЙ РАСЧЁТ</t>
  </si>
  <si>
    <t xml:space="preserve">Стоимость работ (п.2)</t>
  </si>
  <si>
    <t xml:space="preserve">Дополнительное оборудование (п.3)</t>
  </si>
  <si>
    <t xml:space="preserve">Транспорт (п.4)</t>
  </si>
  <si>
    <t xml:space="preserve">Печать / оформление (п.5)</t>
  </si>
  <si>
    <t xml:space="preserve">Себестоимость (прямые затраты)</t>
  </si>
  <si>
    <t xml:space="preserve">Накладные расходы (% из «Настройки»)</t>
  </si>
  <si>
    <t xml:space="preserve">Итого затраты</t>
  </si>
  <si>
    <t xml:space="preserve">Наценка / плановая прибыль (% из «Настройки»)</t>
  </si>
  <si>
    <t xml:space="preserve">Цена без учёта срочности</t>
  </si>
  <si>
    <t xml:space="preserve">Надбавка за срочность (если включена)</t>
  </si>
  <si>
    <t xml:space="preserve">ИТОГОВАЯ ЦЕНА КЛИЕНТУ</t>
  </si>
  <si>
    <t xml:space="preserve">📊  7. НАЛОГ УСН 6% И ДОХОД ЧИСТЫМИ</t>
  </si>
  <si>
    <t xml:space="preserve">Налог УСН «доходы» (со всей суммы поступления)</t>
  </si>
  <si>
    <t xml:space="preserve">Переменные расходы по заказу (бензин/амортизация авто, печать)</t>
  </si>
  <si>
    <t xml:space="preserve">Накладные расходы, отнесённые на заказ</t>
  </si>
  <si>
    <t xml:space="preserve">ЧИСТЫМИ НА РУКИ С ЗАКАЗА</t>
  </si>
  <si>
    <t xml:space="preserve">🎯  СРАВНЕНИЕ С РЫНКОМ ЯРОСЛАВЛЯ</t>
  </si>
  <si>
    <t xml:space="preserve">Ориентир рынка ЯО, ₽ (от — до)</t>
  </si>
  <si>
    <t xml:space="preserve">Ваша цена относительно рынка</t>
  </si>
  <si>
    <t xml:space="preserve">Чистыми за 1 час работы (без дороги)</t>
  </si>
  <si>
    <t xml:space="preserve">ЭКСПЕРТИЗА ПОСЛЕ ЗАЛИВА — РАСЧЁТ СТОИМОСТИ</t>
  </si>
  <si>
    <t xml:space="preserve">Фиксация повреждений, причина залива, акт  •  опционально — смета стоимости ремонта  •  ставки — с листа «Настройки»</t>
  </si>
  <si>
    <t xml:space="preserve">🏢  1. ПАРАМЕТРЫ ЗАЛИВА</t>
  </si>
  <si>
    <t xml:space="preserve">Количество повреждённых помещений (комнат)</t>
  </si>
  <si>
    <t xml:space="preserve">Общая площадь повреждений, м²</t>
  </si>
  <si>
    <t xml:space="preserve">⏱  2. ТРУДОЗАТРАТЫ НА ОСМОТР И АКТ</t>
  </si>
  <si>
    <t xml:space="preserve">Выезд и общий осмотр, часов (базовые)</t>
  </si>
  <si>
    <t xml:space="preserve">Норма часов осмотра на 1 повреждённое помещение</t>
  </si>
  <si>
    <t xml:space="preserve">Часы на осмотр помещений (расчёт)</t>
  </si>
  <si>
    <t xml:space="preserve">Фотофиксация и замеры , часов</t>
  </si>
  <si>
    <t xml:space="preserve">Составление акта осмотра / заключения, часов</t>
  </si>
  <si>
    <t xml:space="preserve">Было 20 ч. При 20 ч цена втрое выше рынка Ярославля (8–30 тыс.).</t>
  </si>
  <si>
    <t xml:space="preserve">Итого часов и стоимость осмотра/акта</t>
  </si>
  <si>
    <t xml:space="preserve">🔁  4. ПОВТОРНЫЙ ВЫЕЗД (после высыхания — скрытые повреждения)</t>
  </si>
  <si>
    <t xml:space="preserve">Нужен повторный выезд?</t>
  </si>
  <si>
    <t xml:space="preserve">Часы на повторный выезд и доп. осмотр</t>
  </si>
  <si>
    <t xml:space="preserve">Повторный выезд (п.4 = ДА) удваивает поездки автоматически.</t>
  </si>
  <si>
    <t xml:space="preserve">📐  6. СМЕТА УЩЕРБА (СТОИМОСТЬ РЕМОНТА) — ОПЦИОНАЛЬНО</t>
  </si>
  <si>
    <t xml:space="preserve">Составлять смету ущерба (стоимости ремонта)?</t>
  </si>
  <si>
    <t xml:space="preserve">Норма часов на смету по 1 повреждённому помещению</t>
  </si>
  <si>
    <t xml:space="preserve">Часы на смету (расчёт)</t>
  </si>
  <si>
    <t xml:space="preserve">Смета оценивает стоимость ремонта по укрупнённым расценкам — отдельная работа сверх акта осмотра.</t>
  </si>
  <si>
    <t xml:space="preserve">💰  8. ИТОГО — СВОДНЫЙ РАСЧЁТ</t>
  </si>
  <si>
    <t xml:space="preserve">Стоимость работ — осмотр и акт (п.2)</t>
  </si>
  <si>
    <t xml:space="preserve">Повторный выезд (п.4)</t>
  </si>
  <si>
    <t xml:space="preserve">Транспорт (п.5)</t>
  </si>
  <si>
    <t xml:space="preserve">Смета ущерба (п.6)</t>
  </si>
  <si>
    <t xml:space="preserve">Печать / оформление (п.7)</t>
  </si>
  <si>
    <t xml:space="preserve">📊  9. НАЛОГ УСН 6% И ДОХОД ЧИСТЫМИ</t>
  </si>
  <si>
    <t xml:space="preserve">ОСМОТР ОБЪЕКТА ПЕРЕД ПОКУПКОЙ — РАСЧЁТ СТОИМОСТИ</t>
  </si>
  <si>
    <t xml:space="preserve">Визуальный осмотр, выявление дефектов, акт с перечнем замечаний  •  ставки — с листа «Настройки»</t>
  </si>
  <si>
    <t xml:space="preserve">🏠  1. ПАРАМЕТРЫ ОБЪЕКТА</t>
  </si>
  <si>
    <t xml:space="preserve">Количество комнат / помещений для осмотра</t>
  </si>
  <si>
    <t xml:space="preserve">Выезд и визуальный осмотр, часов (базовые)</t>
  </si>
  <si>
    <t xml:space="preserve">Норма доп. часов на 1 комнату сверх 3-х</t>
  </si>
  <si>
    <t xml:space="preserve">Доп. часы по количеству комнат (расчёт)</t>
  </si>
  <si>
    <t xml:space="preserve">Инструментальная проверка (влажность, окна, коммуникации), часов</t>
  </si>
  <si>
    <t xml:space="preserve">Составление акта осмотра с перечнем дефектов, часов</t>
  </si>
  <si>
    <t xml:space="preserve">🖨  ОФОРМЛЕНИЕ АКТА</t>
  </si>
  <si>
    <t xml:space="preserve">Печать / оформление акта (п.5)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</si>
</sst>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 ₽&quot;"/>
    <numFmt numFmtId="166" formatCode="#,##0.00&quot; ₽&quot;"/>
    <numFmt numFmtId="167" formatCode="0.0%"/>
    <numFmt numFmtId="168" formatCode="0"/>
    <numFmt numFmtId="169" formatCode="0%"/>
    <numFmt numFmtId="170" formatCode="0&quot; ч&quot;"/>
    <numFmt numFmtId="171" formatCode="0&quot; км&quot;"/>
    <numFmt numFmtId="172" formatCode="0.0&quot; ч&quot;"/>
    <numFmt numFmtId="173" formatCode="0.0"/>
    <numFmt numFmtId="174" formatCode="#,##0&quot; ₽/ч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7A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4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EEAF1"/>
      </patternFill>
    </fill>
    <fill>
      <patternFill patternType="solid">
        <fgColor rgb="FFDEEAF1"/>
        <bgColor rgb="FFDDEBF7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1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2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12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1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2" fontId="8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3" fontId="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3" fontId="8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3" fontId="12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4" fillId="1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5" fillId="1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4" fontId="8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C6E0B4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5" activeCellId="0" sqref="C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</row>
    <row r="3" customFormat="false" ht="15.75" hidden="false" customHeight="true" outlineLevel="0" collapsed="false">
      <c r="B3" s="3" t="s">
        <v>2</v>
      </c>
      <c r="C3" s="3" t="s">
        <v>3</v>
      </c>
      <c r="D3" s="4" t="s">
        <v>4</v>
      </c>
      <c r="E3" s="4"/>
      <c r="F3" s="4"/>
    </row>
    <row r="4" customFormat="false" ht="18.75" hidden="false" customHeight="true" outlineLevel="0" collapsed="false">
      <c r="B4" s="5" t="s">
        <v>5</v>
      </c>
      <c r="C4" s="5"/>
      <c r="D4" s="5"/>
      <c r="E4" s="5"/>
      <c r="F4" s="5"/>
    </row>
    <row r="5" customFormat="false" ht="72" hidden="false" customHeight="true" outlineLevel="0" collapsed="false">
      <c r="B5" s="6" t="s">
        <v>6</v>
      </c>
      <c r="C5" s="7" t="n">
        <v>1000</v>
      </c>
      <c r="D5" s="8" t="s">
        <v>7</v>
      </c>
    </row>
    <row r="6" customFormat="false" ht="84" hidden="false" customHeight="true" outlineLevel="0" collapsed="false">
      <c r="B6" s="6" t="s">
        <v>8</v>
      </c>
      <c r="C6" s="9" t="n">
        <v>12</v>
      </c>
      <c r="D6" s="8" t="s">
        <v>9</v>
      </c>
      <c r="E6" s="8"/>
      <c r="F6" s="8"/>
    </row>
    <row r="7" customFormat="false" ht="18.75" hidden="false" customHeight="true" outlineLevel="0" collapsed="false">
      <c r="B7" s="5" t="s">
        <v>10</v>
      </c>
      <c r="C7" s="5"/>
      <c r="D7" s="5"/>
      <c r="E7" s="5"/>
      <c r="F7" s="5"/>
    </row>
    <row r="8" customFormat="false" ht="84" hidden="false" customHeight="true" outlineLevel="0" collapsed="false">
      <c r="B8" s="6" t="s">
        <v>11</v>
      </c>
      <c r="C8" s="10" t="n">
        <f aca="false">'Накладные расходы'!C26</f>
        <v>0.0786840055132738</v>
      </c>
      <c r="D8" s="8" t="s">
        <v>12</v>
      </c>
    </row>
    <row r="9" customFormat="false" ht="96" hidden="false" customHeight="true" outlineLevel="0" collapsed="false">
      <c r="B9" s="6" t="s">
        <v>13</v>
      </c>
      <c r="C9" s="11" t="n">
        <v>0.3</v>
      </c>
      <c r="D9" s="8" t="s">
        <v>14</v>
      </c>
      <c r="E9" s="8"/>
      <c r="F9" s="8"/>
    </row>
    <row r="10" customFormat="false" ht="60" hidden="false" customHeight="true" outlineLevel="0" collapsed="false">
      <c r="B10" s="6" t="s">
        <v>15</v>
      </c>
      <c r="C10" s="11" t="n">
        <v>0.2</v>
      </c>
      <c r="D10" s="8" t="s">
        <v>16</v>
      </c>
    </row>
    <row r="11" customFormat="false" ht="18.75" hidden="false" customHeight="true" outlineLevel="0" collapsed="false">
      <c r="B11" s="5" t="s">
        <v>17</v>
      </c>
      <c r="C11" s="5"/>
      <c r="D11" s="5"/>
      <c r="E11" s="5"/>
      <c r="F11" s="5"/>
    </row>
    <row r="12" customFormat="false" ht="84" hidden="false" customHeight="true" outlineLevel="0" collapsed="false">
      <c r="B12" s="6" t="s">
        <v>18</v>
      </c>
      <c r="C12" s="11" t="n">
        <v>0.06</v>
      </c>
      <c r="D12" s="8" t="s">
        <v>19</v>
      </c>
      <c r="E12" s="8"/>
      <c r="F12" s="8"/>
    </row>
    <row r="13" customFormat="false" ht="18.75" hidden="false" customHeight="true" outlineLevel="0" collapsed="false">
      <c r="B13" s="5" t="s">
        <v>20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21</v>
      </c>
      <c r="C14" s="7" t="n">
        <v>300</v>
      </c>
    </row>
    <row r="15" customFormat="false" ht="15" hidden="false" customHeight="false" outlineLevel="0" collapsed="false">
      <c r="B15" s="6" t="s">
        <v>22</v>
      </c>
      <c r="C15" s="7" t="n">
        <v>800</v>
      </c>
    </row>
    <row r="16" customFormat="false" ht="15" hidden="false" customHeight="false" outlineLevel="0" collapsed="false">
      <c r="B16" s="6" t="s">
        <v>23</v>
      </c>
      <c r="C16" s="7" t="n">
        <v>150</v>
      </c>
    </row>
    <row r="17" customFormat="false" ht="96" hidden="false" customHeight="true" outlineLevel="0" collapsed="false">
      <c r="B17" s="6" t="s">
        <v>24</v>
      </c>
      <c r="C17" s="7" t="n">
        <v>500</v>
      </c>
      <c r="D17" s="8" t="s">
        <v>25</v>
      </c>
    </row>
    <row r="18" customFormat="false" ht="18.75" hidden="false" customHeight="true" outlineLevel="0" collapsed="false">
      <c r="B18" s="5" t="s">
        <v>26</v>
      </c>
      <c r="C18" s="5"/>
      <c r="D18" s="5"/>
      <c r="E18" s="5"/>
      <c r="F18" s="5"/>
    </row>
    <row r="19" customFormat="false" ht="15" hidden="false" customHeight="false" outlineLevel="0" collapsed="false">
      <c r="B19" s="6" t="s">
        <v>27</v>
      </c>
      <c r="C19" s="7" t="n">
        <v>200</v>
      </c>
    </row>
    <row r="20" customFormat="false" ht="15" hidden="false" customHeight="false" outlineLevel="0" collapsed="false">
      <c r="B20" s="6" t="s">
        <v>28</v>
      </c>
      <c r="C20" s="12" t="n">
        <v>2</v>
      </c>
    </row>
    <row r="22" customFormat="false" ht="15" hidden="false" customHeight="false" outlineLevel="0" collapsed="false">
      <c r="B22" s="13" t="s">
        <v>29</v>
      </c>
      <c r="C22" s="13"/>
      <c r="D22" s="13"/>
      <c r="E22" s="13"/>
      <c r="F22" s="13"/>
    </row>
    <row r="24" customFormat="false" ht="18.75" hidden="false" customHeight="true" outlineLevel="0" collapsed="false">
      <c r="B24" s="5" t="s">
        <v>30</v>
      </c>
      <c r="C24" s="5"/>
      <c r="D24" s="5"/>
      <c r="E24" s="5"/>
      <c r="F24" s="5"/>
    </row>
    <row r="25" customFormat="false" ht="48" hidden="false" customHeight="true" outlineLevel="0" collapsed="false">
      <c r="B25" s="6" t="s">
        <v>31</v>
      </c>
      <c r="C25" s="12" t="n">
        <v>50</v>
      </c>
      <c r="D25" s="8" t="s">
        <v>32</v>
      </c>
      <c r="E25" s="8"/>
      <c r="F25" s="8"/>
    </row>
    <row r="26" customFormat="false" ht="48" hidden="false" customHeight="true" outlineLevel="0" collapsed="false">
      <c r="B26" s="6" t="s">
        <v>33</v>
      </c>
      <c r="C26" s="14" t="n">
        <v>1</v>
      </c>
      <c r="D26" s="8" t="s">
        <v>34</v>
      </c>
      <c r="E26" s="8"/>
      <c r="F26" s="8"/>
    </row>
    <row r="27" customFormat="false" ht="48" hidden="false" customHeight="true" outlineLevel="0" collapsed="false">
      <c r="B27" s="6" t="s">
        <v>35</v>
      </c>
      <c r="C27" s="7" t="n">
        <v>500</v>
      </c>
      <c r="D27" s="8" t="s">
        <v>36</v>
      </c>
      <c r="E27" s="8"/>
      <c r="F27" s="8"/>
    </row>
  </sheetData>
  <mergeCells count="16">
    <mergeCell ref="B1:F1"/>
    <mergeCell ref="B2:F2"/>
    <mergeCell ref="D3:F3"/>
    <mergeCell ref="B4:F4"/>
    <mergeCell ref="D6:F6"/>
    <mergeCell ref="B7:F7"/>
    <mergeCell ref="D9:F9"/>
    <mergeCell ref="B11:F11"/>
    <mergeCell ref="D12:F12"/>
    <mergeCell ref="B13:F13"/>
    <mergeCell ref="B18:F18"/>
    <mergeCell ref="B22:F22"/>
    <mergeCell ref="B24:F24"/>
    <mergeCell ref="D25:F25"/>
    <mergeCell ref="D26:F26"/>
    <mergeCell ref="D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B20" activeCellId="0" sqref="B2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30" hidden="false" customHeight="true" outlineLevel="0" collapsed="false">
      <c r="B1" s="1" t="s">
        <v>37</v>
      </c>
      <c r="C1" s="1"/>
      <c r="D1" s="1"/>
      <c r="E1" s="1"/>
      <c r="F1" s="1"/>
    </row>
    <row r="2" customFormat="false" ht="18" hidden="false" customHeight="true" outlineLevel="0" collapsed="false">
      <c r="B2" s="2" t="s">
        <v>38</v>
      </c>
      <c r="C2" s="2"/>
      <c r="D2" s="2"/>
      <c r="E2" s="2"/>
      <c r="F2" s="2"/>
    </row>
    <row r="3" customFormat="false" ht="15.75" hidden="false" customHeight="true" outlineLevel="0" collapsed="false">
      <c r="B3" s="3" t="s">
        <v>2</v>
      </c>
      <c r="C3" s="3" t="s">
        <v>3</v>
      </c>
      <c r="D3" s="4" t="s">
        <v>4</v>
      </c>
      <c r="E3" s="4"/>
      <c r="F3" s="4"/>
    </row>
    <row r="4" customFormat="false" ht="18.75" hidden="false" customHeight="true" outlineLevel="0" collapsed="false">
      <c r="B4" s="5" t="s">
        <v>39</v>
      </c>
      <c r="C4" s="5"/>
      <c r="D4" s="5"/>
      <c r="E4" s="5"/>
      <c r="F4" s="5"/>
    </row>
    <row r="5" customFormat="false" ht="15" hidden="false" customHeight="false" outlineLevel="0" collapsed="false">
      <c r="B5" s="6" t="s">
        <v>40</v>
      </c>
      <c r="C5" s="7" t="n">
        <v>3000</v>
      </c>
    </row>
    <row r="6" customFormat="false" ht="15" hidden="false" customHeight="false" outlineLevel="0" collapsed="false">
      <c r="B6" s="6" t="s">
        <v>41</v>
      </c>
      <c r="C6" s="7" t="n">
        <v>2000</v>
      </c>
    </row>
    <row r="7" customFormat="false" ht="15" hidden="false" customHeight="false" outlineLevel="0" collapsed="false">
      <c r="B7" s="6" t="s">
        <v>42</v>
      </c>
      <c r="C7" s="7" t="n">
        <v>3000</v>
      </c>
    </row>
    <row r="8" customFormat="false" ht="15" hidden="false" customHeight="false" outlineLevel="0" collapsed="false">
      <c r="B8" s="6" t="s">
        <v>43</v>
      </c>
      <c r="C8" s="7" t="n">
        <v>0</v>
      </c>
    </row>
    <row r="9" customFormat="false" ht="15" hidden="false" customHeight="false" outlineLevel="0" collapsed="false">
      <c r="B9" s="6" t="s">
        <v>44</v>
      </c>
      <c r="C9" s="7" t="n">
        <v>3000</v>
      </c>
    </row>
    <row r="10" customFormat="false" ht="15" hidden="false" customHeight="false" outlineLevel="0" collapsed="false">
      <c r="B10" s="15" t="s">
        <v>45</v>
      </c>
      <c r="C10" s="16" t="n">
        <f aca="false">SUM(C5:C9)</f>
        <v>11000</v>
      </c>
      <c r="D10" s="17"/>
      <c r="E10" s="17"/>
      <c r="F10" s="17"/>
    </row>
    <row r="11" customFormat="false" ht="18.75" hidden="false" customHeight="true" outlineLevel="0" collapsed="false">
      <c r="B11" s="5" t="s">
        <v>46</v>
      </c>
      <c r="C11" s="5"/>
      <c r="D11" s="5"/>
      <c r="E11" s="5"/>
      <c r="F11" s="5"/>
    </row>
    <row r="12" customFormat="false" ht="15" hidden="false" customHeight="false" outlineLevel="0" collapsed="false">
      <c r="B12" s="6" t="s">
        <v>47</v>
      </c>
      <c r="C12" s="7" t="n">
        <v>50000</v>
      </c>
    </row>
    <row r="13" customFormat="false" ht="15" hidden="false" customHeight="false" outlineLevel="0" collapsed="false">
      <c r="B13" s="6" t="s">
        <v>48</v>
      </c>
      <c r="C13" s="12" t="n">
        <v>5</v>
      </c>
    </row>
    <row r="14" customFormat="false" ht="15" hidden="false" customHeight="false" outlineLevel="0" collapsed="false">
      <c r="B14" s="6" t="s">
        <v>49</v>
      </c>
      <c r="C14" s="18" t="n">
        <f aca="false">C12/(C13*12)</f>
        <v>833.333333333333</v>
      </c>
    </row>
    <row r="15" customFormat="false" ht="18.75" hidden="false" customHeight="true" outlineLevel="0" collapsed="false">
      <c r="B15" s="5" t="s">
        <v>50</v>
      </c>
      <c r="C15" s="5"/>
      <c r="D15" s="5"/>
      <c r="E15" s="5"/>
      <c r="F15" s="5"/>
    </row>
    <row r="16" customFormat="false" ht="15" hidden="false" customHeight="false" outlineLevel="0" collapsed="false">
      <c r="B16" s="6" t="s">
        <v>51</v>
      </c>
      <c r="C16" s="7" t="n">
        <v>50000</v>
      </c>
    </row>
    <row r="17" customFormat="false" ht="36" hidden="false" customHeight="true" outlineLevel="0" collapsed="false">
      <c r="B17" s="6" t="s">
        <v>52</v>
      </c>
      <c r="C17" s="7" t="n">
        <v>0</v>
      </c>
      <c r="D17" s="8" t="s">
        <v>53</v>
      </c>
      <c r="E17" s="8"/>
      <c r="F17" s="8"/>
    </row>
    <row r="18" customFormat="false" ht="15" hidden="false" customHeight="false" outlineLevel="0" collapsed="false">
      <c r="B18" s="6" t="s">
        <v>54</v>
      </c>
      <c r="C18" s="18" t="n">
        <f aca="false">(C16+C17)/12</f>
        <v>4166.66666666667</v>
      </c>
    </row>
    <row r="19" customFormat="false" ht="18.75" hidden="false" customHeight="true" outlineLevel="0" collapsed="false">
      <c r="B19" s="5" t="s">
        <v>55</v>
      </c>
      <c r="C19" s="5"/>
      <c r="D19" s="5"/>
      <c r="E19" s="5"/>
      <c r="F19" s="5"/>
    </row>
    <row r="20" customFormat="false" ht="28.5" hidden="false" customHeight="true" outlineLevel="0" collapsed="false">
      <c r="B20" s="19" t="s">
        <v>56</v>
      </c>
      <c r="C20" s="7" t="n">
        <v>10000</v>
      </c>
    </row>
    <row r="21" customFormat="false" ht="15" hidden="false" customHeight="false" outlineLevel="0" collapsed="false">
      <c r="B21" s="6" t="s">
        <v>57</v>
      </c>
      <c r="C21" s="18" t="n">
        <f aca="false">C20/12</f>
        <v>833.333333333333</v>
      </c>
    </row>
    <row r="22" customFormat="false" ht="15" hidden="false" customHeight="false" outlineLevel="0" collapsed="false">
      <c r="B22" s="15" t="s">
        <v>58</v>
      </c>
      <c r="C22" s="16" t="n">
        <f aca="false">C10+C14+C18+C21</f>
        <v>16833.3333333333</v>
      </c>
      <c r="D22" s="17"/>
      <c r="E22" s="17"/>
      <c r="F22" s="17"/>
    </row>
    <row r="24" customFormat="false" ht="18.75" hidden="false" customHeight="true" outlineLevel="0" collapsed="false">
      <c r="B24" s="5" t="s">
        <v>59</v>
      </c>
      <c r="C24" s="5"/>
      <c r="D24" s="5"/>
      <c r="E24" s="5"/>
      <c r="F24" s="5"/>
    </row>
    <row r="25" customFormat="false" ht="84" hidden="false" customHeight="true" outlineLevel="0" collapsed="false">
      <c r="B25" s="6" t="s">
        <v>60</v>
      </c>
      <c r="C25" s="7" t="n">
        <v>300000</v>
      </c>
      <c r="D25" s="8" t="s">
        <v>61</v>
      </c>
    </row>
    <row r="26" customFormat="false" ht="60" hidden="false" customHeight="true" outlineLevel="0" collapsed="false">
      <c r="B26" s="6" t="s">
        <v>62</v>
      </c>
      <c r="C26" s="20" t="n">
        <f aca="false">IF(C25/(1+Настройки!C9)-C22&gt;0,C22/(C25/(1+Настройки!C9)-C22),0)</f>
        <v>0.0786840055132738</v>
      </c>
      <c r="D26" s="8" t="s">
        <v>63</v>
      </c>
      <c r="E26" s="8"/>
      <c r="F26" s="8"/>
    </row>
    <row r="27" customFormat="false" ht="48" hidden="false" customHeight="true" outlineLevel="0" collapsed="false">
      <c r="B27" s="6" t="s">
        <v>64</v>
      </c>
      <c r="C27" s="21" t="n">
        <f aca="false">C25/(Настройки!C5*(1+C26)*(1+Настройки!C9))</f>
        <v>213.935897435897</v>
      </c>
      <c r="D27" s="8" t="s">
        <v>65</v>
      </c>
      <c r="E27" s="8"/>
      <c r="F27" s="8"/>
    </row>
  </sheetData>
  <mergeCells count="11">
    <mergeCell ref="B1:F1"/>
    <mergeCell ref="B2:F2"/>
    <mergeCell ref="D3:F3"/>
    <mergeCell ref="B4:F4"/>
    <mergeCell ref="B11:F11"/>
    <mergeCell ref="B15:F15"/>
    <mergeCell ref="D17:F17"/>
    <mergeCell ref="B19:F19"/>
    <mergeCell ref="B24:F24"/>
    <mergeCell ref="D26:F26"/>
    <mergeCell ref="D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2" min="2" style="0" width="48"/>
    <col collapsed="false" customWidth="true" hidden="false" outlineLevel="0" max="4" min="3" style="0" width="14"/>
    <col collapsed="false" customWidth="true" hidden="false" outlineLevel="0" max="5" min="5" style="0" width="46"/>
    <col collapsed="false" customWidth="true" hidden="false" outlineLevel="0" max="6" min="6" style="0" width="40"/>
  </cols>
  <sheetData>
    <row r="1" customFormat="false" ht="30" hidden="false" customHeight="true" outlineLevel="0" collapsed="false">
      <c r="B1" s="1" t="s">
        <v>66</v>
      </c>
      <c r="C1" s="1"/>
      <c r="D1" s="1"/>
      <c r="E1" s="1"/>
      <c r="F1" s="1"/>
    </row>
    <row r="2" customFormat="false" ht="15" hidden="false" customHeight="false" outlineLevel="0" collapsed="false">
      <c r="B2" s="2" t="s">
        <v>67</v>
      </c>
      <c r="C2" s="2"/>
      <c r="D2" s="2"/>
      <c r="E2" s="2"/>
      <c r="F2" s="2"/>
    </row>
    <row r="3" customFormat="false" ht="15" hidden="false" customHeight="false" outlineLevel="0" collapsed="false"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</row>
    <row r="4" customFormat="false" ht="36" hidden="false" customHeight="true" outlineLevel="0" collapsed="false">
      <c r="B4" s="6" t="s">
        <v>73</v>
      </c>
      <c r="C4" s="7" t="n">
        <v>30000</v>
      </c>
      <c r="D4" s="7" t="n">
        <v>80000</v>
      </c>
      <c r="E4" s="8" t="s">
        <v>74</v>
      </c>
      <c r="F4" s="8" t="s">
        <v>75</v>
      </c>
    </row>
    <row r="5" customFormat="false" ht="36" hidden="false" customHeight="true" outlineLevel="0" collapsed="false">
      <c r="B5" s="6" t="s">
        <v>76</v>
      </c>
      <c r="C5" s="7" t="n">
        <v>8000</v>
      </c>
      <c r="D5" s="7" t="n">
        <v>30000</v>
      </c>
      <c r="E5" s="8" t="s">
        <v>77</v>
      </c>
      <c r="F5" s="8" t="s">
        <v>78</v>
      </c>
    </row>
    <row r="6" customFormat="false" ht="36" hidden="false" customHeight="true" outlineLevel="0" collapsed="false">
      <c r="B6" s="6" t="s">
        <v>79</v>
      </c>
      <c r="C6" s="7" t="n">
        <v>5000</v>
      </c>
      <c r="D6" s="7" t="n">
        <v>10000</v>
      </c>
      <c r="E6" s="8" t="s">
        <v>80</v>
      </c>
      <c r="F6" s="8" t="s">
        <v>81</v>
      </c>
    </row>
    <row r="7" customFormat="false" ht="36" hidden="false" customHeight="true" outlineLevel="0" collapsed="false">
      <c r="B7" s="6" t="s">
        <v>82</v>
      </c>
      <c r="C7" s="7" t="n">
        <v>7000</v>
      </c>
      <c r="D7" s="7" t="n">
        <v>15000</v>
      </c>
      <c r="E7" s="8" t="s">
        <v>83</v>
      </c>
      <c r="F7" s="8" t="s">
        <v>84</v>
      </c>
    </row>
    <row r="8" customFormat="false" ht="36" hidden="false" customHeight="true" outlineLevel="0" collapsed="false">
      <c r="B8" s="6" t="s">
        <v>85</v>
      </c>
      <c r="C8" s="7" t="n">
        <v>15000</v>
      </c>
      <c r="D8" s="7" t="n">
        <v>30000</v>
      </c>
      <c r="E8" s="8" t="s">
        <v>86</v>
      </c>
      <c r="F8" s="8" t="s">
        <v>87</v>
      </c>
    </row>
    <row r="9" customFormat="false" ht="36" hidden="false" customHeight="true" outlineLevel="0" collapsed="false">
      <c r="B9" s="6" t="s">
        <v>88</v>
      </c>
      <c r="C9" s="7" t="n">
        <v>15000</v>
      </c>
      <c r="D9" s="7" t="n">
        <v>30000</v>
      </c>
      <c r="E9" s="8" t="s">
        <v>89</v>
      </c>
      <c r="F9" s="8" t="s">
        <v>84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30" hidden="false" customHeight="true" outlineLevel="0" collapsed="false">
      <c r="B1" s="1" t="s">
        <v>90</v>
      </c>
      <c r="C1" s="1"/>
      <c r="D1" s="1"/>
    </row>
    <row r="2" customFormat="false" ht="15" hidden="false" customHeight="false" outlineLevel="0" collapsed="false">
      <c r="B2" s="2" t="s">
        <v>91</v>
      </c>
      <c r="C2" s="2"/>
      <c r="D2" s="2"/>
    </row>
    <row r="3" customFormat="false" ht="15" hidden="false" customHeight="false" outlineLevel="0" collapsed="false">
      <c r="B3" s="3" t="s">
        <v>92</v>
      </c>
      <c r="C3" s="3" t="s">
        <v>93</v>
      </c>
      <c r="D3" s="3" t="s">
        <v>94</v>
      </c>
    </row>
    <row r="4" customFormat="false" ht="15" hidden="false" customHeight="false" outlineLevel="0" collapsed="false">
      <c r="B4" s="6" t="s">
        <v>95</v>
      </c>
      <c r="C4" s="22" t="n">
        <v>15</v>
      </c>
      <c r="D4" s="23" t="n">
        <f aca="false">C4*2/Настройки!$C$25</f>
        <v>0.6</v>
      </c>
    </row>
    <row r="5" customFormat="false" ht="15" hidden="false" customHeight="false" outlineLevel="0" collapsed="false">
      <c r="B5" s="6" t="s">
        <v>96</v>
      </c>
      <c r="C5" s="22" t="n">
        <v>25</v>
      </c>
      <c r="D5" s="23" t="n">
        <f aca="false">C5*2/Настройки!$C$25</f>
        <v>1</v>
      </c>
    </row>
    <row r="6" customFormat="false" ht="15" hidden="false" customHeight="false" outlineLevel="0" collapsed="false">
      <c r="B6" s="6" t="s">
        <v>97</v>
      </c>
      <c r="C6" s="22" t="n">
        <v>35</v>
      </c>
      <c r="D6" s="23" t="n">
        <f aca="false">C6*2/Настройки!$C$25</f>
        <v>1.4</v>
      </c>
    </row>
    <row r="7" customFormat="false" ht="15" hidden="false" customHeight="false" outlineLevel="0" collapsed="false">
      <c r="B7" s="6" t="s">
        <v>98</v>
      </c>
      <c r="C7" s="22" t="n">
        <v>40</v>
      </c>
      <c r="D7" s="23" t="n">
        <f aca="false">C7*2/Настройки!$C$25</f>
        <v>1.6</v>
      </c>
    </row>
    <row r="8" customFormat="false" ht="15" hidden="false" customHeight="false" outlineLevel="0" collapsed="false">
      <c r="B8" s="6" t="s">
        <v>99</v>
      </c>
      <c r="C8" s="22" t="n">
        <v>40</v>
      </c>
      <c r="D8" s="23" t="n">
        <f aca="false">C8*2/Настройки!$C$25</f>
        <v>1.6</v>
      </c>
    </row>
    <row r="9" customFormat="false" ht="15" hidden="false" customHeight="false" outlineLevel="0" collapsed="false">
      <c r="B9" s="6" t="s">
        <v>100</v>
      </c>
      <c r="C9" s="22" t="n">
        <v>55</v>
      </c>
      <c r="D9" s="23" t="n">
        <f aca="false">C9*2/Настройки!$C$25</f>
        <v>2.2</v>
      </c>
    </row>
    <row r="10" customFormat="false" ht="15" hidden="false" customHeight="false" outlineLevel="0" collapsed="false">
      <c r="B10" s="6" t="s">
        <v>101</v>
      </c>
      <c r="C10" s="22" t="n">
        <v>57</v>
      </c>
      <c r="D10" s="23" t="n">
        <f aca="false">C10*2/Настройки!$C$25</f>
        <v>2.28</v>
      </c>
    </row>
    <row r="11" customFormat="false" ht="15" hidden="false" customHeight="false" outlineLevel="0" collapsed="false">
      <c r="B11" s="6" t="s">
        <v>102</v>
      </c>
      <c r="C11" s="22" t="n">
        <v>70</v>
      </c>
      <c r="D11" s="23" t="n">
        <f aca="false">C11*2/Настройки!$C$25</f>
        <v>2.8</v>
      </c>
    </row>
    <row r="12" customFormat="false" ht="15" hidden="false" customHeight="false" outlineLevel="0" collapsed="false">
      <c r="B12" s="6" t="s">
        <v>103</v>
      </c>
      <c r="C12" s="22" t="n">
        <v>75</v>
      </c>
      <c r="D12" s="23" t="n">
        <f aca="false">C12*2/Настройки!$C$25</f>
        <v>3</v>
      </c>
    </row>
    <row r="13" customFormat="false" ht="15" hidden="false" customHeight="false" outlineLevel="0" collapsed="false">
      <c r="B13" s="6" t="s">
        <v>104</v>
      </c>
      <c r="C13" s="22" t="n">
        <v>85</v>
      </c>
      <c r="D13" s="23" t="n">
        <f aca="false">C13*2/Настройки!$C$25</f>
        <v>3.4</v>
      </c>
    </row>
    <row r="14" customFormat="false" ht="15" hidden="false" customHeight="false" outlineLevel="0" collapsed="false">
      <c r="B14" s="6" t="s">
        <v>105</v>
      </c>
      <c r="C14" s="22" t="n">
        <v>100</v>
      </c>
      <c r="D14" s="23" t="n">
        <f aca="false">C14*2/Настройки!$C$25</f>
        <v>4</v>
      </c>
    </row>
    <row r="15" customFormat="false" ht="15" hidden="false" customHeight="false" outlineLevel="0" collapsed="false">
      <c r="B15" s="6" t="s">
        <v>106</v>
      </c>
      <c r="C15" s="22" t="n">
        <v>105</v>
      </c>
      <c r="D15" s="23" t="n">
        <f aca="false">C15*2/Настройки!$C$25</f>
        <v>4.2</v>
      </c>
    </row>
    <row r="16" customFormat="false" ht="15" hidden="false" customHeight="false" outlineLevel="0" collapsed="false">
      <c r="B16" s="6" t="s">
        <v>107</v>
      </c>
      <c r="C16" s="22" t="n">
        <v>115</v>
      </c>
      <c r="D16" s="23" t="n">
        <f aca="false">C16*2/Настройки!$C$25</f>
        <v>4.6</v>
      </c>
    </row>
    <row r="17" customFormat="false" ht="15" hidden="false" customHeight="false" outlineLevel="0" collapsed="false">
      <c r="B17" s="6" t="s">
        <v>108</v>
      </c>
      <c r="C17" s="22" t="n">
        <v>120</v>
      </c>
      <c r="D17" s="23" t="n">
        <f aca="false">C17*2/Настройки!$C$25</f>
        <v>4.8</v>
      </c>
    </row>
    <row r="18" customFormat="false" ht="15" hidden="false" customHeight="false" outlineLevel="0" collapsed="false">
      <c r="B18" s="6" t="s">
        <v>109</v>
      </c>
      <c r="C18" s="22" t="n">
        <v>125</v>
      </c>
      <c r="D18" s="23" t="n">
        <f aca="false">C18*2/Настройки!$C$25</f>
        <v>5</v>
      </c>
    </row>
    <row r="19" customFormat="false" ht="15" hidden="false" customHeight="false" outlineLevel="0" collapsed="false">
      <c r="B19" s="6" t="s">
        <v>110</v>
      </c>
      <c r="C19" s="22" t="n">
        <v>130</v>
      </c>
      <c r="D19" s="23" t="n">
        <f aca="false">C19*2/Настройки!$C$25</f>
        <v>5.2</v>
      </c>
    </row>
    <row r="20" customFormat="false" ht="15" hidden="false" customHeight="false" outlineLevel="0" collapsed="false">
      <c r="B20" s="6" t="s">
        <v>111</v>
      </c>
      <c r="C20" s="22" t="n">
        <v>150</v>
      </c>
      <c r="D20" s="23" t="n">
        <f aca="false">C20*2/Настройки!$C$25</f>
        <v>6</v>
      </c>
    </row>
    <row r="21" customFormat="false" ht="15" hidden="false" customHeight="false" outlineLevel="0" collapsed="false">
      <c r="B21" s="6" t="s">
        <v>112</v>
      </c>
      <c r="C21" s="22" t="n">
        <v>180</v>
      </c>
      <c r="D21" s="23" t="n">
        <f aca="false">C21*2/Настройки!$C$25</f>
        <v>7.2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C37" activeCellId="0" sqref="C3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30" hidden="false" customHeight="true" outlineLevel="0" collapsed="false">
      <c r="B1" s="1" t="s">
        <v>113</v>
      </c>
      <c r="C1" s="1"/>
      <c r="D1" s="1"/>
      <c r="E1" s="1"/>
      <c r="F1" s="1"/>
    </row>
    <row r="2" customFormat="false" ht="18" hidden="false" customHeight="true" outlineLevel="0" collapsed="false">
      <c r="B2" s="2" t="s">
        <v>114</v>
      </c>
      <c r="C2" s="2"/>
      <c r="D2" s="2"/>
      <c r="E2" s="2"/>
      <c r="F2" s="2"/>
    </row>
    <row r="3" customFormat="false" ht="15.75" hidden="false" customHeight="true" outlineLevel="0" collapsed="false">
      <c r="B3" s="3" t="s">
        <v>2</v>
      </c>
      <c r="C3" s="3" t="s">
        <v>115</v>
      </c>
      <c r="D3" s="3" t="s">
        <v>116</v>
      </c>
      <c r="E3" s="3" t="s">
        <v>117</v>
      </c>
      <c r="F3" s="3" t="s">
        <v>4</v>
      </c>
    </row>
    <row r="4" customFormat="false" ht="18.75" hidden="false" customHeight="true" outlineLevel="0" collapsed="false">
      <c r="B4" s="5" t="s">
        <v>118</v>
      </c>
      <c r="C4" s="5"/>
      <c r="D4" s="5"/>
      <c r="E4" s="5"/>
      <c r="F4" s="5"/>
    </row>
    <row r="5" customFormat="false" ht="15" hidden="false" customHeight="false" outlineLevel="0" collapsed="false">
      <c r="B5" s="6" t="s">
        <v>119</v>
      </c>
      <c r="C5" s="24" t="s">
        <v>120</v>
      </c>
    </row>
    <row r="6" customFormat="false" ht="15" hidden="false" customHeight="false" outlineLevel="0" collapsed="false">
      <c r="B6" s="6" t="s">
        <v>121</v>
      </c>
      <c r="C6" s="12" t="n">
        <v>100</v>
      </c>
    </row>
    <row r="7" customFormat="false" ht="24" hidden="false" customHeight="true" outlineLevel="0" collapsed="false">
      <c r="B7" s="6" t="s">
        <v>122</v>
      </c>
      <c r="C7" s="12" t="n">
        <v>2</v>
      </c>
      <c r="F7" s="8" t="s">
        <v>123</v>
      </c>
    </row>
    <row r="8" customFormat="false" ht="18.75" hidden="false" customHeight="true" outlineLevel="0" collapsed="false">
      <c r="B8" s="5" t="s">
        <v>124</v>
      </c>
      <c r="C8" s="5"/>
      <c r="D8" s="5"/>
      <c r="E8" s="5"/>
      <c r="F8" s="5"/>
    </row>
    <row r="9" customFormat="false" ht="15" hidden="false" customHeight="false" outlineLevel="0" collapsed="false">
      <c r="B9" s="6" t="s">
        <v>125</v>
      </c>
      <c r="D9" s="25" t="n">
        <v>3</v>
      </c>
      <c r="E9" s="18" t="n">
        <f aca="false">D9*Настройки!$C$5</f>
        <v>3000</v>
      </c>
    </row>
    <row r="10" customFormat="false" ht="15" hidden="false" customHeight="false" outlineLevel="0" collapsed="false">
      <c r="B10" s="6" t="s">
        <v>126</v>
      </c>
      <c r="D10" s="25" t="n">
        <v>1.5</v>
      </c>
    </row>
    <row r="11" customFormat="false" ht="15" hidden="false" customHeight="false" outlineLevel="0" collapsed="false">
      <c r="B11" s="6" t="s">
        <v>127</v>
      </c>
      <c r="D11" s="26" t="n">
        <f aca="false">ROUNDUP(MAX(C6-50,0)/50,0)*D10</f>
        <v>1.5</v>
      </c>
      <c r="E11" s="18" t="n">
        <f aca="false">D11*Настройки!$C$5</f>
        <v>1500</v>
      </c>
    </row>
    <row r="12" customFormat="false" ht="28.5" hidden="false" customHeight="true" outlineLevel="0" collapsed="false">
      <c r="B12" s="19" t="s">
        <v>128</v>
      </c>
      <c r="D12" s="25" t="n">
        <v>2</v>
      </c>
      <c r="E12" s="18" t="n">
        <f aca="false">D12*Настройки!$C$5</f>
        <v>2000</v>
      </c>
    </row>
    <row r="13" customFormat="false" ht="28.5" hidden="false" customHeight="true" outlineLevel="0" collapsed="false">
      <c r="B13" s="19" t="s">
        <v>129</v>
      </c>
      <c r="D13" s="25" t="n">
        <v>30</v>
      </c>
      <c r="E13" s="18" t="n">
        <f aca="false">D13*Настройки!$C$5</f>
        <v>30000</v>
      </c>
    </row>
    <row r="14" customFormat="false" ht="15" hidden="false" customHeight="false" outlineLevel="0" collapsed="false">
      <c r="B14" s="15" t="s">
        <v>130</v>
      </c>
      <c r="C14" s="17"/>
      <c r="D14" s="27" t="n">
        <f aca="false">D9+D11+D12+D13</f>
        <v>36.5</v>
      </c>
      <c r="E14" s="16" t="n">
        <f aca="false">SUM(E9:E13)</f>
        <v>36500</v>
      </c>
      <c r="F14" s="17"/>
    </row>
    <row r="15" customFormat="false" ht="18.75" hidden="false" customHeight="true" outlineLevel="0" collapsed="false">
      <c r="B15" s="5" t="s">
        <v>131</v>
      </c>
      <c r="C15" s="5"/>
      <c r="D15" s="5"/>
      <c r="E15" s="5"/>
      <c r="F15" s="5"/>
    </row>
    <row r="16" customFormat="false" ht="15" hidden="false" customHeight="false" outlineLevel="0" collapsed="false">
      <c r="B16" s="6" t="s">
        <v>132</v>
      </c>
      <c r="C16" s="24" t="s">
        <v>133</v>
      </c>
      <c r="E16" s="18" t="n">
        <f aca="false">IF(C16="ДА",Настройки!$C$14,0)</f>
        <v>300</v>
      </c>
    </row>
    <row r="17" customFormat="false" ht="15" hidden="false" customHeight="false" outlineLevel="0" collapsed="false">
      <c r="B17" s="6" t="s">
        <v>134</v>
      </c>
      <c r="C17" s="24" t="s">
        <v>133</v>
      </c>
      <c r="E17" s="18" t="n">
        <f aca="false">IF(C17="ДА",Настройки!$C$15,0)</f>
        <v>800</v>
      </c>
    </row>
    <row r="18" customFormat="false" ht="15" hidden="false" customHeight="false" outlineLevel="0" collapsed="false">
      <c r="B18" s="6" t="s">
        <v>135</v>
      </c>
      <c r="C18" s="24" t="s">
        <v>133</v>
      </c>
      <c r="E18" s="18" t="n">
        <f aca="false">IF(C18="ДА",Настройки!$C$16,0)</f>
        <v>150</v>
      </c>
    </row>
    <row r="19" customFormat="false" ht="15" hidden="false" customHeight="false" outlineLevel="0" collapsed="false">
      <c r="B19" s="6" t="s">
        <v>136</v>
      </c>
      <c r="C19" s="24" t="s">
        <v>133</v>
      </c>
      <c r="E19" s="18" t="n">
        <f aca="false">IF(C19="ДА",Настройки!$C$17,0)</f>
        <v>500</v>
      </c>
    </row>
    <row r="20" customFormat="false" ht="15" hidden="false" customHeight="false" outlineLevel="0" collapsed="false">
      <c r="B20" s="15" t="s">
        <v>137</v>
      </c>
      <c r="C20" s="17"/>
      <c r="D20" s="17"/>
      <c r="E20" s="16" t="n">
        <f aca="false">SUM(E16:E19)</f>
        <v>1750</v>
      </c>
      <c r="F20" s="17"/>
    </row>
    <row r="21" customFormat="false" ht="18.75" hidden="false" customHeight="true" outlineLevel="0" collapsed="false">
      <c r="B21" s="5" t="s">
        <v>138</v>
      </c>
      <c r="C21" s="5"/>
      <c r="D21" s="5"/>
      <c r="E21" s="5"/>
      <c r="F21" s="5"/>
    </row>
    <row r="22" customFormat="false" ht="22.35" hidden="false" customHeight="false" outlineLevel="0" collapsed="false">
      <c r="B22" s="6" t="s">
        <v>139</v>
      </c>
      <c r="C22" s="12" t="n">
        <v>15</v>
      </c>
      <c r="F22" s="8" t="s">
        <v>140</v>
      </c>
    </row>
    <row r="23" customFormat="false" ht="28.5" hidden="false" customHeight="true" outlineLevel="0" collapsed="false">
      <c r="B23" s="19" t="s">
        <v>141</v>
      </c>
      <c r="C23" s="12" t="n">
        <v>2</v>
      </c>
    </row>
    <row r="24" customFormat="false" ht="15" hidden="false" customHeight="false" outlineLevel="0" collapsed="false">
      <c r="B24" s="15" t="s">
        <v>142</v>
      </c>
      <c r="C24" s="17"/>
      <c r="D24" s="17"/>
      <c r="E24" s="16" t="n">
        <f aca="false">C22*C23*Настройки!$C$6+C22*C23/Настройки!$C$25*Настройки!$C$5*Настройки!$C$26</f>
        <v>960</v>
      </c>
      <c r="F24" s="17"/>
    </row>
    <row r="25" customFormat="false" ht="18.75" hidden="false" customHeight="true" outlineLevel="0" collapsed="false">
      <c r="B25" s="5" t="s">
        <v>143</v>
      </c>
      <c r="C25" s="5"/>
      <c r="D25" s="5"/>
      <c r="E25" s="5"/>
      <c r="F25" s="5"/>
    </row>
    <row r="26" customFormat="false" ht="15" hidden="false" customHeight="false" outlineLevel="0" collapsed="false">
      <c r="B26" s="6" t="s">
        <v>144</v>
      </c>
      <c r="C26" s="12" t="n">
        <f aca="false">Настройки!$C$20</f>
        <v>2</v>
      </c>
    </row>
    <row r="27" customFormat="false" ht="15" hidden="false" customHeight="false" outlineLevel="0" collapsed="false">
      <c r="B27" s="15" t="s">
        <v>145</v>
      </c>
      <c r="C27" s="17"/>
      <c r="D27" s="17"/>
      <c r="E27" s="16" t="n">
        <f aca="false">C26*Настройки!$C$19</f>
        <v>400</v>
      </c>
      <c r="F27" s="17"/>
    </row>
    <row r="28" customFormat="false" ht="15" hidden="false" customHeight="false" outlineLevel="0" collapsed="false">
      <c r="B28" s="6" t="s">
        <v>146</v>
      </c>
      <c r="C28" s="24" t="s">
        <v>147</v>
      </c>
    </row>
    <row r="29" customFormat="false" ht="18.75" hidden="false" customHeight="true" outlineLevel="0" collapsed="false">
      <c r="B29" s="5" t="s">
        <v>148</v>
      </c>
      <c r="C29" s="5"/>
      <c r="D29" s="5"/>
      <c r="E29" s="5"/>
      <c r="F29" s="5"/>
    </row>
    <row r="30" customFormat="false" ht="15" hidden="false" customHeight="false" outlineLevel="0" collapsed="false">
      <c r="B30" s="6" t="s">
        <v>149</v>
      </c>
      <c r="E30" s="18" t="n">
        <f aca="false">E14</f>
        <v>36500</v>
      </c>
    </row>
    <row r="31" customFormat="false" ht="15" hidden="false" customHeight="false" outlineLevel="0" collapsed="false">
      <c r="B31" s="6" t="s">
        <v>150</v>
      </c>
      <c r="E31" s="18" t="n">
        <f aca="false">E20</f>
        <v>1750</v>
      </c>
    </row>
    <row r="32" customFormat="false" ht="15" hidden="false" customHeight="false" outlineLevel="0" collapsed="false">
      <c r="B32" s="6" t="s">
        <v>151</v>
      </c>
      <c r="E32" s="18" t="n">
        <f aca="false">E24</f>
        <v>960</v>
      </c>
    </row>
    <row r="33" customFormat="false" ht="15" hidden="false" customHeight="false" outlineLevel="0" collapsed="false">
      <c r="B33" s="6" t="s">
        <v>152</v>
      </c>
      <c r="E33" s="18" t="n">
        <f aca="false">E27</f>
        <v>400</v>
      </c>
    </row>
    <row r="34" customFormat="false" ht="15" hidden="false" customHeight="false" outlineLevel="0" collapsed="false">
      <c r="B34" s="15" t="s">
        <v>153</v>
      </c>
      <c r="C34" s="17"/>
      <c r="D34" s="17"/>
      <c r="E34" s="16" t="n">
        <f aca="false">SUM(E30:E33)</f>
        <v>39610</v>
      </c>
      <c r="F34" s="17"/>
    </row>
    <row r="35" customFormat="false" ht="15" hidden="false" customHeight="false" outlineLevel="0" collapsed="false">
      <c r="B35" s="6" t="s">
        <v>154</v>
      </c>
      <c r="E35" s="18" t="n">
        <f aca="false">E34*Настройки!$C$8</f>
        <v>3116.67345838078</v>
      </c>
    </row>
    <row r="36" customFormat="false" ht="15" hidden="false" customHeight="false" outlineLevel="0" collapsed="false">
      <c r="B36" s="15" t="s">
        <v>155</v>
      </c>
      <c r="C36" s="17"/>
      <c r="D36" s="17"/>
      <c r="E36" s="16" t="n">
        <f aca="false">E34+E35</f>
        <v>42726.6734583808</v>
      </c>
      <c r="F36" s="17"/>
    </row>
    <row r="37" customFormat="false" ht="28.5" hidden="false" customHeight="true" outlineLevel="0" collapsed="false">
      <c r="B37" s="19" t="s">
        <v>156</v>
      </c>
      <c r="E37" s="18" t="n">
        <f aca="false">E36*Настройки!$C$9</f>
        <v>12818.0020375142</v>
      </c>
    </row>
    <row r="38" customFormat="false" ht="15" hidden="false" customHeight="false" outlineLevel="0" collapsed="false">
      <c r="B38" s="6" t="s">
        <v>157</v>
      </c>
      <c r="E38" s="18" t="n">
        <f aca="false">E36+E37</f>
        <v>55544.675495895</v>
      </c>
    </row>
    <row r="39" customFormat="false" ht="15" hidden="false" customHeight="false" outlineLevel="0" collapsed="false">
      <c r="B39" s="6" t="s">
        <v>158</v>
      </c>
      <c r="E39" s="18" t="n">
        <f aca="false">IF(C28="ДА",E38*Настройки!$C$10,0)</f>
        <v>0</v>
      </c>
    </row>
    <row r="40" customFormat="false" ht="24" hidden="false" customHeight="true" outlineLevel="0" collapsed="false">
      <c r="B40" s="28" t="s">
        <v>159</v>
      </c>
      <c r="C40" s="28"/>
      <c r="D40" s="28"/>
      <c r="E40" s="29" t="n">
        <f aca="false">ROUNDUP((E38+E39)/Настройки!$C$27,0)*Настройки!$C$27</f>
        <v>56000</v>
      </c>
      <c r="F40" s="29"/>
    </row>
    <row r="42" customFormat="false" ht="18.75" hidden="false" customHeight="true" outlineLevel="0" collapsed="false">
      <c r="B42" s="5" t="s">
        <v>160</v>
      </c>
      <c r="C42" s="5"/>
      <c r="D42" s="5"/>
      <c r="E42" s="5"/>
      <c r="F42" s="5"/>
    </row>
    <row r="43" customFormat="false" ht="15" hidden="false" customHeight="false" outlineLevel="0" collapsed="false">
      <c r="B43" s="6" t="s">
        <v>161</v>
      </c>
      <c r="E43" s="18" t="n">
        <f aca="false">E40*Настройки!$C$12</f>
        <v>3360</v>
      </c>
    </row>
    <row r="44" customFormat="false" ht="15" hidden="false" customHeight="false" outlineLevel="0" collapsed="false">
      <c r="B44" s="6" t="s">
        <v>162</v>
      </c>
      <c r="E44" s="18" t="n">
        <f aca="false">E32+E33</f>
        <v>1360</v>
      </c>
    </row>
    <row r="45" customFormat="false" ht="15" hidden="false" customHeight="false" outlineLevel="0" collapsed="false">
      <c r="B45" s="6" t="s">
        <v>163</v>
      </c>
      <c r="E45" s="18" t="n">
        <f aca="false">E35</f>
        <v>3116.67345838078</v>
      </c>
    </row>
    <row r="46" customFormat="false" ht="24" hidden="false" customHeight="true" outlineLevel="0" collapsed="false">
      <c r="B46" s="30" t="s">
        <v>164</v>
      </c>
      <c r="C46" s="30"/>
      <c r="D46" s="30"/>
      <c r="E46" s="31" t="n">
        <f aca="false">E40-E43-E44-E45</f>
        <v>48163.3265416192</v>
      </c>
      <c r="F46" s="31"/>
    </row>
    <row r="48" customFormat="false" ht="18.75" hidden="false" customHeight="true" outlineLevel="0" collapsed="false">
      <c r="B48" s="5" t="s">
        <v>165</v>
      </c>
      <c r="C48" s="5"/>
      <c r="D48" s="5"/>
      <c r="E48" s="5"/>
      <c r="F48" s="5"/>
    </row>
    <row r="49" customFormat="false" ht="15" hidden="false" customHeight="false" outlineLevel="0" collapsed="false">
      <c r="B49" s="6" t="s">
        <v>166</v>
      </c>
      <c r="C49" s="18" t="n">
        <f aca="false">INDEX('Рынок ЯО'!$C$4:$C$9,MATCH("Обследование дома/здания, тех. заключение",'Рынок ЯО'!$B$4:$B$9,0))</f>
        <v>30000</v>
      </c>
      <c r="D49" s="32" t="s">
        <v>84</v>
      </c>
      <c r="E49" s="18" t="n">
        <f aca="false">INDEX('Рынок ЯО'!$D$4:$D$9,MATCH("Обследование дома/здания, тех. заключение",'Рынок ЯО'!$B$4:$B$9,0))</f>
        <v>80000</v>
      </c>
    </row>
    <row r="50" customFormat="false" ht="15" hidden="false" customHeight="false" outlineLevel="0" collapsed="false">
      <c r="B50" s="6" t="s">
        <v>167</v>
      </c>
      <c r="E50" s="33" t="str">
        <f aca="false">IF(E40&lt;C49,"ниже рынка",IF(E40&gt;E49,"ВЫШЕ рынка","в рынке"))</f>
        <v>в рынке</v>
      </c>
    </row>
    <row r="51" customFormat="false" ht="15" hidden="false" customHeight="false" outlineLevel="0" collapsed="false">
      <c r="B51" s="6" t="s">
        <v>168</v>
      </c>
      <c r="E51" s="34" t="n">
        <f aca="false">E46/D14</f>
        <v>1319.54319292107</v>
      </c>
    </row>
  </sheetData>
  <mergeCells count="14">
    <mergeCell ref="B1:F1"/>
    <mergeCell ref="B2:F2"/>
    <mergeCell ref="B4:F4"/>
    <mergeCell ref="B8:F8"/>
    <mergeCell ref="B15:F15"/>
    <mergeCell ref="B21:F21"/>
    <mergeCell ref="B25:F25"/>
    <mergeCell ref="B29:F29"/>
    <mergeCell ref="B40:D40"/>
    <mergeCell ref="E40:F40"/>
    <mergeCell ref="B42:F42"/>
    <mergeCell ref="B46:D46"/>
    <mergeCell ref="E46:F46"/>
    <mergeCell ref="B48:F48"/>
  </mergeCells>
  <dataValidations count="2">
    <dataValidation allowBlank="false" errorStyle="stop" operator="between" showDropDown="false" showErrorMessage="false" showInputMessage="false" sqref="C5" type="list">
      <formula1>"Квартира,Частный дом,Нежилое помещение,Здание/сооружение"</formula1>
      <formula2>0</formula2>
    </dataValidation>
    <dataValidation allowBlank="false" errorStyle="stop" operator="between" showDropDown="false" showErrorMessage="false" showInputMessage="false" sqref="C16:C19 C28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31" activePane="bottomRight" state="frozen"/>
      <selection pane="topLeft" activeCell="A1" activeCellId="0" sqref="A1"/>
      <selection pane="topRight" activeCell="B1" activeCellId="0" sqref="B1"/>
      <selection pane="bottomLeft" activeCell="A31" activeCellId="0" sqref="A31"/>
      <selection pane="bottomRight" activeCell="B32" activeCellId="0" sqref="B3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30" hidden="false" customHeight="true" outlineLevel="0" collapsed="false">
      <c r="B1" s="1" t="s">
        <v>169</v>
      </c>
      <c r="C1" s="1"/>
      <c r="D1" s="1"/>
      <c r="E1" s="1"/>
      <c r="F1" s="1"/>
    </row>
    <row r="2" customFormat="false" ht="18" hidden="false" customHeight="true" outlineLevel="0" collapsed="false">
      <c r="B2" s="2" t="s">
        <v>170</v>
      </c>
      <c r="C2" s="2"/>
      <c r="D2" s="2"/>
      <c r="E2" s="2"/>
      <c r="F2" s="2"/>
    </row>
    <row r="3" customFormat="false" ht="15.75" hidden="false" customHeight="true" outlineLevel="0" collapsed="false">
      <c r="B3" s="3" t="s">
        <v>2</v>
      </c>
      <c r="C3" s="3" t="s">
        <v>115</v>
      </c>
      <c r="D3" s="3" t="s">
        <v>116</v>
      </c>
      <c r="E3" s="3" t="s">
        <v>117</v>
      </c>
      <c r="F3" s="3" t="s">
        <v>4</v>
      </c>
    </row>
    <row r="4" customFormat="false" ht="18.75" hidden="false" customHeight="true" outlineLevel="0" collapsed="false">
      <c r="B4" s="5" t="s">
        <v>171</v>
      </c>
      <c r="C4" s="5"/>
      <c r="D4" s="5"/>
      <c r="E4" s="5"/>
      <c r="F4" s="5"/>
    </row>
    <row r="5" customFormat="false" ht="15" hidden="false" customHeight="false" outlineLevel="0" collapsed="false">
      <c r="B5" s="6" t="s">
        <v>119</v>
      </c>
      <c r="C5" s="24" t="s">
        <v>120</v>
      </c>
    </row>
    <row r="6" customFormat="false" ht="28.5" hidden="false" customHeight="true" outlineLevel="0" collapsed="false">
      <c r="B6" s="19" t="s">
        <v>172</v>
      </c>
      <c r="C6" s="12" t="n">
        <v>2</v>
      </c>
    </row>
    <row r="7" customFormat="false" ht="15" hidden="false" customHeight="false" outlineLevel="0" collapsed="false">
      <c r="B7" s="6" t="s">
        <v>173</v>
      </c>
      <c r="C7" s="12" t="n">
        <v>25</v>
      </c>
    </row>
    <row r="8" customFormat="false" ht="18.75" hidden="false" customHeight="true" outlineLevel="0" collapsed="false">
      <c r="B8" s="5" t="s">
        <v>174</v>
      </c>
      <c r="C8" s="5"/>
      <c r="D8" s="5"/>
      <c r="E8" s="5"/>
      <c r="F8" s="5"/>
    </row>
    <row r="9" customFormat="false" ht="15" hidden="false" customHeight="false" outlineLevel="0" collapsed="false">
      <c r="B9" s="6" t="s">
        <v>175</v>
      </c>
      <c r="D9" s="25" t="n">
        <v>2</v>
      </c>
      <c r="E9" s="18" t="n">
        <f aca="false">D9*Настройки!$C$5</f>
        <v>2000</v>
      </c>
    </row>
    <row r="10" customFormat="false" ht="15" hidden="false" customHeight="false" outlineLevel="0" collapsed="false">
      <c r="B10" s="6" t="s">
        <v>176</v>
      </c>
      <c r="D10" s="25" t="n">
        <v>1</v>
      </c>
    </row>
    <row r="11" customFormat="false" ht="15" hidden="false" customHeight="false" outlineLevel="0" collapsed="false">
      <c r="B11" s="6" t="s">
        <v>177</v>
      </c>
      <c r="D11" s="26" t="n">
        <f aca="false">C6*D10</f>
        <v>2</v>
      </c>
      <c r="E11" s="18" t="n">
        <f aca="false">D11*Настройки!$C$5</f>
        <v>2000</v>
      </c>
    </row>
    <row r="12" customFormat="false" ht="15" hidden="false" customHeight="false" outlineLevel="0" collapsed="false">
      <c r="B12" s="35" t="s">
        <v>178</v>
      </c>
      <c r="D12" s="25" t="n">
        <v>1.5</v>
      </c>
      <c r="E12" s="18" t="n">
        <f aca="false">D12*Настройки!$C$5</f>
        <v>1500</v>
      </c>
    </row>
    <row r="13" customFormat="false" ht="28.5" hidden="false" customHeight="true" outlineLevel="0" collapsed="false">
      <c r="B13" s="19" t="s">
        <v>179</v>
      </c>
      <c r="D13" s="25" t="n">
        <v>8</v>
      </c>
      <c r="E13" s="18" t="n">
        <f aca="false">D13*Настройки!$C$5</f>
        <v>8000</v>
      </c>
      <c r="F13" s="8" t="s">
        <v>180</v>
      </c>
    </row>
    <row r="14" customFormat="false" ht="15" hidden="false" customHeight="false" outlineLevel="0" collapsed="false">
      <c r="B14" s="15" t="s">
        <v>181</v>
      </c>
      <c r="C14" s="17"/>
      <c r="D14" s="27" t="n">
        <f aca="false">D9+D11+D12+D13</f>
        <v>13.5</v>
      </c>
      <c r="E14" s="16" t="n">
        <f aca="false">SUM(E9:E13)</f>
        <v>13500</v>
      </c>
      <c r="F14" s="17"/>
    </row>
    <row r="15" customFormat="false" ht="18.75" hidden="false" customHeight="true" outlineLevel="0" collapsed="false">
      <c r="B15" s="5" t="s">
        <v>131</v>
      </c>
      <c r="C15" s="5"/>
      <c r="D15" s="5"/>
      <c r="E15" s="5"/>
      <c r="F15" s="5"/>
    </row>
    <row r="16" customFormat="false" ht="15" hidden="false" customHeight="false" outlineLevel="0" collapsed="false">
      <c r="B16" s="6" t="s">
        <v>132</v>
      </c>
      <c r="C16" s="24" t="s">
        <v>147</v>
      </c>
      <c r="E16" s="18" t="n">
        <f aca="false">IF(C16="ДА",Настройки!$C$14,0)</f>
        <v>0</v>
      </c>
    </row>
    <row r="17" customFormat="false" ht="15" hidden="false" customHeight="false" outlineLevel="0" collapsed="false">
      <c r="B17" s="6" t="s">
        <v>134</v>
      </c>
      <c r="C17" s="24" t="s">
        <v>147</v>
      </c>
      <c r="E17" s="18" t="n">
        <f aca="false">IF(C17="ДА",Настройки!$C$15,0)</f>
        <v>0</v>
      </c>
    </row>
    <row r="18" customFormat="false" ht="15" hidden="false" customHeight="false" outlineLevel="0" collapsed="false">
      <c r="B18" s="6" t="s">
        <v>135</v>
      </c>
      <c r="C18" s="24" t="s">
        <v>147</v>
      </c>
      <c r="E18" s="18" t="n">
        <f aca="false">IF(C18="ДА",Настройки!$C$16,0)</f>
        <v>0</v>
      </c>
    </row>
    <row r="19" customFormat="false" ht="15" hidden="false" customHeight="false" outlineLevel="0" collapsed="false">
      <c r="B19" s="6" t="s">
        <v>136</v>
      </c>
      <c r="C19" s="24" t="s">
        <v>147</v>
      </c>
      <c r="E19" s="18" t="n">
        <f aca="false">IF(C19="ДА",Настройки!$C$17,0)</f>
        <v>0</v>
      </c>
    </row>
    <row r="20" customFormat="false" ht="15" hidden="false" customHeight="false" outlineLevel="0" collapsed="false">
      <c r="B20" s="15" t="s">
        <v>137</v>
      </c>
      <c r="C20" s="17"/>
      <c r="D20" s="17"/>
      <c r="E20" s="16" t="n">
        <f aca="false">SUM(E16:E19)</f>
        <v>0</v>
      </c>
      <c r="F20" s="17"/>
    </row>
    <row r="21" customFormat="false" ht="18.75" hidden="false" customHeight="true" outlineLevel="0" collapsed="false">
      <c r="B21" s="5" t="s">
        <v>182</v>
      </c>
      <c r="C21" s="5"/>
      <c r="D21" s="5"/>
      <c r="E21" s="5"/>
      <c r="F21" s="5"/>
    </row>
    <row r="22" customFormat="false" ht="15" hidden="false" customHeight="false" outlineLevel="0" collapsed="false">
      <c r="B22" s="6" t="s">
        <v>183</v>
      </c>
      <c r="C22" s="24" t="s">
        <v>147</v>
      </c>
    </row>
    <row r="23" customFormat="false" ht="15" hidden="false" customHeight="false" outlineLevel="0" collapsed="false">
      <c r="B23" s="6" t="s">
        <v>184</v>
      </c>
      <c r="D23" s="25" t="n">
        <v>2</v>
      </c>
      <c r="E23" s="18" t="n">
        <f aca="false">IF(C22="ДА",D23*Настройки!$C$5,0)</f>
        <v>0</v>
      </c>
    </row>
    <row r="24" customFormat="false" ht="18.75" hidden="false" customHeight="true" outlineLevel="0" collapsed="false">
      <c r="B24" s="5" t="s">
        <v>138</v>
      </c>
      <c r="C24" s="5"/>
      <c r="D24" s="5"/>
      <c r="E24" s="5"/>
      <c r="F24" s="5"/>
    </row>
    <row r="25" customFormat="false" ht="22.35" hidden="false" customHeight="false" outlineLevel="0" collapsed="false">
      <c r="B25" s="19" t="s">
        <v>139</v>
      </c>
      <c r="C25" s="12" t="n">
        <v>15</v>
      </c>
      <c r="F25" s="8" t="s">
        <v>140</v>
      </c>
    </row>
    <row r="26" customFormat="false" ht="28.5" hidden="false" customHeight="true" outlineLevel="0" collapsed="false">
      <c r="B26" s="19" t="s">
        <v>141</v>
      </c>
      <c r="C26" s="12" t="n">
        <v>2</v>
      </c>
    </row>
    <row r="27" customFormat="false" ht="36" hidden="false" customHeight="true" outlineLevel="0" collapsed="false">
      <c r="B27" s="15" t="s">
        <v>142</v>
      </c>
      <c r="C27" s="17"/>
      <c r="D27" s="17"/>
      <c r="E27" s="16" t="n">
        <f aca="false">C25*C26*(1+(C22="ДА"))*Настройки!$C$6+C25*C26*(1+(C22="ДА"))/Настройки!$C$25*Настройки!$C$5*Настройки!$C$26</f>
        <v>960</v>
      </c>
      <c r="F27" s="8" t="s">
        <v>185</v>
      </c>
    </row>
    <row r="28" customFormat="false" ht="18.75" hidden="false" customHeight="true" outlineLevel="0" collapsed="false">
      <c r="B28" s="5" t="s">
        <v>186</v>
      </c>
      <c r="C28" s="5"/>
      <c r="D28" s="5"/>
      <c r="E28" s="5"/>
      <c r="F28" s="5"/>
    </row>
    <row r="29" customFormat="false" ht="28.5" hidden="false" customHeight="true" outlineLevel="0" collapsed="false">
      <c r="B29" s="19" t="s">
        <v>187</v>
      </c>
      <c r="C29" s="24" t="s">
        <v>133</v>
      </c>
    </row>
    <row r="30" customFormat="false" ht="28.5" hidden="false" customHeight="true" outlineLevel="0" collapsed="false">
      <c r="B30" s="19" t="s">
        <v>188</v>
      </c>
      <c r="D30" s="25" t="n">
        <v>2</v>
      </c>
    </row>
    <row r="31" customFormat="false" ht="15" hidden="false" customHeight="false" outlineLevel="0" collapsed="false">
      <c r="B31" s="6" t="s">
        <v>189</v>
      </c>
      <c r="D31" s="26" t="n">
        <f aca="false">IF(C29="ДА",C6*D30,0)</f>
        <v>4</v>
      </c>
      <c r="E31" s="18" t="n">
        <f aca="false">D31*Настройки!$C$5</f>
        <v>4000</v>
      </c>
    </row>
    <row r="32" customFormat="false" ht="36" hidden="false" customHeight="true" outlineLevel="0" collapsed="false">
      <c r="F32" s="8" t="s">
        <v>190</v>
      </c>
    </row>
    <row r="33" customFormat="false" ht="18.75" hidden="false" customHeight="true" outlineLevel="0" collapsed="false">
      <c r="B33" s="5" t="s">
        <v>143</v>
      </c>
      <c r="C33" s="5"/>
      <c r="D33" s="5"/>
      <c r="E33" s="5"/>
      <c r="F33" s="5"/>
    </row>
    <row r="34" customFormat="false" ht="15" hidden="false" customHeight="false" outlineLevel="0" collapsed="false">
      <c r="B34" s="6" t="s">
        <v>144</v>
      </c>
      <c r="C34" s="12" t="n">
        <f aca="false">Настройки!$C$20</f>
        <v>2</v>
      </c>
    </row>
    <row r="35" customFormat="false" ht="15" hidden="false" customHeight="false" outlineLevel="0" collapsed="false">
      <c r="B35" s="15" t="s">
        <v>145</v>
      </c>
      <c r="C35" s="17"/>
      <c r="D35" s="17"/>
      <c r="E35" s="16" t="n">
        <f aca="false">C34*Настройки!$C$19</f>
        <v>400</v>
      </c>
      <c r="F35" s="17"/>
    </row>
    <row r="36" customFormat="false" ht="15" hidden="false" customHeight="false" outlineLevel="0" collapsed="false">
      <c r="B36" s="6" t="s">
        <v>146</v>
      </c>
      <c r="C36" s="24" t="s">
        <v>147</v>
      </c>
    </row>
    <row r="37" customFormat="false" ht="18.75" hidden="false" customHeight="true" outlineLevel="0" collapsed="false">
      <c r="B37" s="5" t="s">
        <v>191</v>
      </c>
      <c r="C37" s="5"/>
      <c r="D37" s="5"/>
      <c r="E37" s="5"/>
      <c r="F37" s="5"/>
    </row>
    <row r="38" customFormat="false" ht="15" hidden="false" customHeight="false" outlineLevel="0" collapsed="false">
      <c r="B38" s="6" t="s">
        <v>192</v>
      </c>
      <c r="E38" s="18" t="n">
        <f aca="false">E14</f>
        <v>13500</v>
      </c>
    </row>
    <row r="39" customFormat="false" ht="15" hidden="false" customHeight="false" outlineLevel="0" collapsed="false">
      <c r="B39" s="6" t="s">
        <v>193</v>
      </c>
      <c r="E39" s="18" t="n">
        <f aca="false">E23</f>
        <v>0</v>
      </c>
    </row>
    <row r="40" customFormat="false" ht="15" hidden="false" customHeight="false" outlineLevel="0" collapsed="false">
      <c r="B40" s="6" t="s">
        <v>150</v>
      </c>
      <c r="E40" s="18" t="n">
        <f aca="false">E20</f>
        <v>0</v>
      </c>
    </row>
    <row r="41" customFormat="false" ht="15" hidden="false" customHeight="false" outlineLevel="0" collapsed="false">
      <c r="B41" s="6" t="s">
        <v>194</v>
      </c>
      <c r="E41" s="18" t="n">
        <f aca="false">E27</f>
        <v>960</v>
      </c>
    </row>
    <row r="42" customFormat="false" ht="15" hidden="false" customHeight="false" outlineLevel="0" collapsed="false">
      <c r="B42" s="6" t="s">
        <v>195</v>
      </c>
      <c r="E42" s="18" t="n">
        <f aca="false">E31</f>
        <v>4000</v>
      </c>
    </row>
    <row r="43" customFormat="false" ht="15" hidden="false" customHeight="false" outlineLevel="0" collapsed="false">
      <c r="B43" s="6" t="s">
        <v>196</v>
      </c>
      <c r="E43" s="18" t="n">
        <f aca="false">E35</f>
        <v>400</v>
      </c>
    </row>
    <row r="44" customFormat="false" ht="15" hidden="false" customHeight="false" outlineLevel="0" collapsed="false">
      <c r="B44" s="15" t="s">
        <v>153</v>
      </c>
      <c r="C44" s="17"/>
      <c r="D44" s="17"/>
      <c r="E44" s="16" t="n">
        <f aca="false">SUM(E38:E43)</f>
        <v>18860</v>
      </c>
      <c r="F44" s="17"/>
    </row>
    <row r="45" customFormat="false" ht="15" hidden="false" customHeight="false" outlineLevel="0" collapsed="false">
      <c r="B45" s="6" t="s">
        <v>154</v>
      </c>
      <c r="E45" s="18" t="n">
        <f aca="false">E44*Настройки!$C$8</f>
        <v>1483.98034398034</v>
      </c>
    </row>
    <row r="46" customFormat="false" ht="15" hidden="false" customHeight="false" outlineLevel="0" collapsed="false">
      <c r="B46" s="15" t="s">
        <v>155</v>
      </c>
      <c r="C46" s="17"/>
      <c r="D46" s="17"/>
      <c r="E46" s="16" t="n">
        <f aca="false">E44+E45</f>
        <v>20343.9803439803</v>
      </c>
      <c r="F46" s="17"/>
    </row>
    <row r="47" customFormat="false" ht="15" hidden="false" customHeight="false" outlineLevel="0" collapsed="false">
      <c r="B47" s="6" t="s">
        <v>156</v>
      </c>
      <c r="E47" s="18" t="n">
        <f aca="false">E46*Настройки!$C$9</f>
        <v>6103.1941031941</v>
      </c>
    </row>
    <row r="48" customFormat="false" ht="15" hidden="false" customHeight="false" outlineLevel="0" collapsed="false">
      <c r="B48" s="6" t="s">
        <v>157</v>
      </c>
      <c r="E48" s="18" t="n">
        <f aca="false">E46+E47</f>
        <v>26447.1744471744</v>
      </c>
    </row>
    <row r="49" customFormat="false" ht="15" hidden="false" customHeight="false" outlineLevel="0" collapsed="false">
      <c r="B49" s="6" t="s">
        <v>158</v>
      </c>
      <c r="E49" s="18" t="n">
        <f aca="false">IF(C36="ДА",E48*Настройки!$C$10,0)</f>
        <v>0</v>
      </c>
    </row>
    <row r="50" customFormat="false" ht="24" hidden="false" customHeight="true" outlineLevel="0" collapsed="false">
      <c r="B50" s="28" t="s">
        <v>159</v>
      </c>
      <c r="C50" s="28"/>
      <c r="D50" s="28"/>
      <c r="E50" s="29" t="n">
        <f aca="false">ROUNDUP((E48+E49)/Настройки!$C$27,0)*Настройки!$C$27</f>
        <v>26500</v>
      </c>
      <c r="F50" s="29"/>
    </row>
    <row r="52" customFormat="false" ht="18.75" hidden="false" customHeight="true" outlineLevel="0" collapsed="false">
      <c r="B52" s="5" t="s">
        <v>197</v>
      </c>
      <c r="C52" s="5"/>
      <c r="D52" s="5"/>
      <c r="E52" s="5"/>
      <c r="F52" s="5"/>
    </row>
    <row r="53" customFormat="false" ht="15" hidden="false" customHeight="false" outlineLevel="0" collapsed="false">
      <c r="B53" s="6" t="s">
        <v>161</v>
      </c>
      <c r="E53" s="18" t="n">
        <f aca="false">E50*Настройки!$C$12</f>
        <v>1590</v>
      </c>
    </row>
    <row r="54" customFormat="false" ht="15" hidden="false" customHeight="false" outlineLevel="0" collapsed="false">
      <c r="B54" s="6" t="s">
        <v>162</v>
      </c>
      <c r="E54" s="18" t="n">
        <f aca="false">E41+E43</f>
        <v>1360</v>
      </c>
    </row>
    <row r="55" customFormat="false" ht="15" hidden="false" customHeight="false" outlineLevel="0" collapsed="false">
      <c r="B55" s="6" t="s">
        <v>163</v>
      </c>
      <c r="E55" s="18" t="n">
        <f aca="false">E45</f>
        <v>1483.98034398034</v>
      </c>
    </row>
    <row r="56" customFormat="false" ht="24" hidden="false" customHeight="true" outlineLevel="0" collapsed="false">
      <c r="B56" s="30" t="s">
        <v>164</v>
      </c>
      <c r="C56" s="30"/>
      <c r="D56" s="30"/>
      <c r="E56" s="31" t="n">
        <f aca="false">E50-E53-E54-E55</f>
        <v>22066.0196560197</v>
      </c>
      <c r="F56" s="31"/>
    </row>
    <row r="58" customFormat="false" ht="18.75" hidden="false" customHeight="true" outlineLevel="0" collapsed="false">
      <c r="B58" s="5" t="s">
        <v>165</v>
      </c>
      <c r="C58" s="5"/>
      <c r="D58" s="5"/>
      <c r="E58" s="5"/>
      <c r="F58" s="5"/>
    </row>
    <row r="59" customFormat="false" ht="15" hidden="false" customHeight="false" outlineLevel="0" collapsed="false">
      <c r="B59" s="6" t="s">
        <v>166</v>
      </c>
      <c r="C59" s="18" t="n">
        <f aca="false">INDEX('Рынок ЯО'!$C$4:$C$9,MATCH("Экспертиза залива (акт, причина, смета)",'Рынок ЯО'!$B$4:$B$9,0))</f>
        <v>8000</v>
      </c>
      <c r="D59" s="32" t="s">
        <v>84</v>
      </c>
      <c r="E59" s="18" t="n">
        <f aca="false">INDEX('Рынок ЯО'!$D$4:$D$9,MATCH("Экспертиза залива (акт, причина, смета)",'Рынок ЯО'!$B$4:$B$9,0))</f>
        <v>30000</v>
      </c>
    </row>
    <row r="60" customFormat="false" ht="15" hidden="false" customHeight="false" outlineLevel="0" collapsed="false">
      <c r="B60" s="6" t="s">
        <v>167</v>
      </c>
      <c r="E60" s="33" t="str">
        <f aca="false">IF(E50&lt;C59,"ниже рынка",IF(E50&gt;E59,"ВЫШЕ рынка","в рынке"))</f>
        <v>в рынке</v>
      </c>
    </row>
    <row r="61" customFormat="false" ht="15" hidden="false" customHeight="false" outlineLevel="0" collapsed="false">
      <c r="B61" s="6" t="s">
        <v>168</v>
      </c>
      <c r="E61" s="34" t="n">
        <f aca="false">E56/(D14+IF(C22="ДА",D23,0)+D31)</f>
        <v>1260.91540891541</v>
      </c>
    </row>
  </sheetData>
  <mergeCells count="16">
    <mergeCell ref="B1:F1"/>
    <mergeCell ref="B2:F2"/>
    <mergeCell ref="B4:F4"/>
    <mergeCell ref="B8:F8"/>
    <mergeCell ref="B15:F15"/>
    <mergeCell ref="B21:F21"/>
    <mergeCell ref="B24:F24"/>
    <mergeCell ref="B28:F28"/>
    <mergeCell ref="B33:F33"/>
    <mergeCell ref="B37:F37"/>
    <mergeCell ref="B50:D50"/>
    <mergeCell ref="E50:F50"/>
    <mergeCell ref="B52:F52"/>
    <mergeCell ref="B56:D56"/>
    <mergeCell ref="E56:F56"/>
    <mergeCell ref="B58:F58"/>
  </mergeCells>
  <dataValidations count="2">
    <dataValidation allowBlank="false" errorStyle="stop" operator="between" showDropDown="false" showErrorMessage="false" showInputMessage="false" sqref="C16:C19 C22 C29 C36" type="list">
      <formula1>"ДА,НЕТ"</formula1>
      <formula2>0</formula2>
    </dataValidation>
    <dataValidation allowBlank="false" errorStyle="stop" operator="between" showDropDown="false" showErrorMessage="false" showInputMessage="false" sqref="C5" type="list">
      <formula1>"Квартира,Частный дом,Нежилое помещение"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B12" activeCellId="0" sqref="B1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30" hidden="false" customHeight="true" outlineLevel="0" collapsed="false">
      <c r="B1" s="1" t="s">
        <v>198</v>
      </c>
      <c r="C1" s="1"/>
      <c r="D1" s="1"/>
      <c r="E1" s="1"/>
      <c r="F1" s="1"/>
    </row>
    <row r="2" customFormat="false" ht="18" hidden="false" customHeight="true" outlineLevel="0" collapsed="false">
      <c r="B2" s="2" t="s">
        <v>199</v>
      </c>
      <c r="C2" s="2"/>
      <c r="D2" s="2"/>
      <c r="E2" s="2"/>
      <c r="F2" s="2"/>
    </row>
    <row r="3" customFormat="false" ht="15.75" hidden="false" customHeight="true" outlineLevel="0" collapsed="false">
      <c r="B3" s="3" t="s">
        <v>2</v>
      </c>
      <c r="C3" s="3" t="s">
        <v>115</v>
      </c>
      <c r="D3" s="3" t="s">
        <v>116</v>
      </c>
      <c r="E3" s="3" t="s">
        <v>117</v>
      </c>
      <c r="F3" s="3" t="s">
        <v>4</v>
      </c>
    </row>
    <row r="4" customFormat="false" ht="18.75" hidden="false" customHeight="true" outlineLevel="0" collapsed="false">
      <c r="B4" s="5" t="s">
        <v>200</v>
      </c>
      <c r="C4" s="5"/>
      <c r="D4" s="5"/>
      <c r="E4" s="5"/>
      <c r="F4" s="5"/>
    </row>
    <row r="5" customFormat="false" ht="15" hidden="false" customHeight="false" outlineLevel="0" collapsed="false">
      <c r="B5" s="6" t="s">
        <v>119</v>
      </c>
      <c r="C5" s="24" t="s">
        <v>120</v>
      </c>
    </row>
    <row r="6" customFormat="false" ht="15" hidden="false" customHeight="false" outlineLevel="0" collapsed="false">
      <c r="B6" s="6" t="s">
        <v>121</v>
      </c>
      <c r="C6" s="12" t="n">
        <v>120</v>
      </c>
    </row>
    <row r="7" customFormat="false" ht="15" hidden="false" customHeight="false" outlineLevel="0" collapsed="false">
      <c r="B7" s="6" t="s">
        <v>201</v>
      </c>
      <c r="C7" s="12" t="n">
        <v>6</v>
      </c>
    </row>
    <row r="8" customFormat="false" ht="18.75" hidden="false" customHeight="true" outlineLevel="0" collapsed="false">
      <c r="B8" s="5" t="s">
        <v>124</v>
      </c>
      <c r="C8" s="5"/>
      <c r="D8" s="5"/>
      <c r="E8" s="5"/>
      <c r="F8" s="5"/>
    </row>
    <row r="9" customFormat="false" ht="15" hidden="false" customHeight="false" outlineLevel="0" collapsed="false">
      <c r="B9" s="6" t="s">
        <v>202</v>
      </c>
      <c r="D9" s="25" t="n">
        <v>2</v>
      </c>
      <c r="E9" s="18" t="n">
        <f aca="false">D9*Настройки!$C$5</f>
        <v>2000</v>
      </c>
    </row>
    <row r="10" customFormat="false" ht="15" hidden="false" customHeight="false" outlineLevel="0" collapsed="false">
      <c r="B10" s="6" t="s">
        <v>203</v>
      </c>
      <c r="D10" s="25" t="n">
        <v>0.5</v>
      </c>
    </row>
    <row r="11" customFormat="false" ht="15" hidden="false" customHeight="false" outlineLevel="0" collapsed="false">
      <c r="B11" s="6" t="s">
        <v>204</v>
      </c>
      <c r="D11" s="26" t="n">
        <f aca="false">MAX(C7-3,0)*D10</f>
        <v>1.5</v>
      </c>
      <c r="E11" s="18" t="n">
        <f aca="false">D11*Настройки!$C$5</f>
        <v>1500</v>
      </c>
    </row>
    <row r="12" customFormat="false" ht="28.5" hidden="false" customHeight="true" outlineLevel="0" collapsed="false">
      <c r="B12" s="19" t="s">
        <v>205</v>
      </c>
      <c r="D12" s="25" t="n">
        <v>1.5</v>
      </c>
      <c r="E12" s="18" t="n">
        <f aca="false">D12*Настройки!$C$5</f>
        <v>1500</v>
      </c>
    </row>
    <row r="13" customFormat="false" ht="28.5" hidden="false" customHeight="true" outlineLevel="0" collapsed="false">
      <c r="B13" s="19" t="s">
        <v>206</v>
      </c>
      <c r="D13" s="25" t="n">
        <v>8</v>
      </c>
      <c r="E13" s="18" t="n">
        <f aca="false">D13*Настройки!$C$5</f>
        <v>8000</v>
      </c>
    </row>
    <row r="14" customFormat="false" ht="15" hidden="false" customHeight="false" outlineLevel="0" collapsed="false">
      <c r="B14" s="15" t="s">
        <v>130</v>
      </c>
      <c r="C14" s="17"/>
      <c r="D14" s="27" t="n">
        <f aca="false">D9+D11+D12+D13</f>
        <v>13</v>
      </c>
      <c r="E14" s="16" t="n">
        <f aca="false">SUM(E9:E13)</f>
        <v>13000</v>
      </c>
      <c r="F14" s="17"/>
    </row>
    <row r="15" customFormat="false" ht="18.75" hidden="false" customHeight="true" outlineLevel="0" collapsed="false">
      <c r="B15" s="5" t="s">
        <v>131</v>
      </c>
      <c r="C15" s="5"/>
      <c r="D15" s="5"/>
      <c r="E15" s="5"/>
      <c r="F15" s="5"/>
    </row>
    <row r="16" customFormat="false" ht="15" hidden="false" customHeight="false" outlineLevel="0" collapsed="false">
      <c r="B16" s="6" t="s">
        <v>132</v>
      </c>
      <c r="C16" s="24" t="s">
        <v>147</v>
      </c>
      <c r="E16" s="18" t="n">
        <f aca="false">IF(C16="ДА",Настройки!$C$14,0)</f>
        <v>0</v>
      </c>
    </row>
    <row r="17" customFormat="false" ht="15" hidden="false" customHeight="false" outlineLevel="0" collapsed="false">
      <c r="B17" s="6" t="s">
        <v>134</v>
      </c>
      <c r="C17" s="24" t="s">
        <v>147</v>
      </c>
      <c r="E17" s="18" t="n">
        <f aca="false">IF(C17="ДА",Настройки!$C$15,0)</f>
        <v>0</v>
      </c>
    </row>
    <row r="18" customFormat="false" ht="15" hidden="false" customHeight="false" outlineLevel="0" collapsed="false">
      <c r="B18" s="6" t="s">
        <v>135</v>
      </c>
      <c r="C18" s="24" t="s">
        <v>147</v>
      </c>
      <c r="E18" s="18" t="n">
        <f aca="false">IF(C18="ДА",Настройки!$C$16,0)</f>
        <v>0</v>
      </c>
    </row>
    <row r="19" customFormat="false" ht="15" hidden="false" customHeight="false" outlineLevel="0" collapsed="false">
      <c r="B19" s="6" t="s">
        <v>136</v>
      </c>
      <c r="C19" s="24" t="s">
        <v>147</v>
      </c>
      <c r="E19" s="18" t="n">
        <f aca="false">IF(C19="ДА",Настройки!$C$17,0)</f>
        <v>0</v>
      </c>
    </row>
    <row r="20" customFormat="false" ht="15" hidden="false" customHeight="false" outlineLevel="0" collapsed="false">
      <c r="B20" s="15" t="s">
        <v>137</v>
      </c>
      <c r="C20" s="17"/>
      <c r="D20" s="17"/>
      <c r="E20" s="16" t="n">
        <f aca="false">SUM(E16:E19)</f>
        <v>0</v>
      </c>
      <c r="F20" s="17"/>
    </row>
    <row r="21" customFormat="false" ht="18.75" hidden="false" customHeight="true" outlineLevel="0" collapsed="false">
      <c r="B21" s="5" t="s">
        <v>138</v>
      </c>
      <c r="C21" s="5"/>
      <c r="D21" s="5"/>
      <c r="E21" s="5"/>
      <c r="F21" s="5"/>
    </row>
    <row r="22" customFormat="false" ht="22.35" hidden="false" customHeight="false" outlineLevel="0" collapsed="false">
      <c r="B22" s="6" t="s">
        <v>139</v>
      </c>
      <c r="C22" s="12" t="n">
        <v>15</v>
      </c>
      <c r="F22" s="8" t="s">
        <v>140</v>
      </c>
    </row>
    <row r="23" customFormat="false" ht="15" hidden="false" customHeight="false" outlineLevel="0" collapsed="false">
      <c r="B23" s="6" t="s">
        <v>141</v>
      </c>
      <c r="C23" s="12" t="n">
        <v>2</v>
      </c>
    </row>
    <row r="24" customFormat="false" ht="15" hidden="false" customHeight="false" outlineLevel="0" collapsed="false">
      <c r="B24" s="15" t="s">
        <v>142</v>
      </c>
      <c r="C24" s="17"/>
      <c r="D24" s="17"/>
      <c r="E24" s="16" t="n">
        <f aca="false">C22*C23*Настройки!$C$6+C22*C23/Настройки!$C$25*Настройки!$C$5*Настройки!$C$26</f>
        <v>960</v>
      </c>
      <c r="F24" s="17"/>
    </row>
    <row r="25" customFormat="false" ht="18.75" hidden="false" customHeight="true" outlineLevel="0" collapsed="false">
      <c r="B25" s="5" t="s">
        <v>207</v>
      </c>
      <c r="C25" s="5"/>
      <c r="D25" s="5"/>
      <c r="E25" s="5"/>
      <c r="F25" s="5"/>
    </row>
    <row r="26" customFormat="false" ht="15" hidden="false" customHeight="false" outlineLevel="0" collapsed="false">
      <c r="B26" s="6" t="s">
        <v>144</v>
      </c>
      <c r="C26" s="12" t="n">
        <f aca="false">Настройки!$C$20</f>
        <v>2</v>
      </c>
    </row>
    <row r="27" customFormat="false" ht="15" hidden="false" customHeight="false" outlineLevel="0" collapsed="false">
      <c r="B27" s="15" t="s">
        <v>145</v>
      </c>
      <c r="C27" s="17"/>
      <c r="D27" s="17"/>
      <c r="E27" s="16" t="n">
        <f aca="false">C26*Настройки!$C$19</f>
        <v>400</v>
      </c>
      <c r="F27" s="17"/>
    </row>
    <row r="28" customFormat="false" ht="15" hidden="false" customHeight="false" outlineLevel="0" collapsed="false">
      <c r="B28" s="6" t="s">
        <v>146</v>
      </c>
      <c r="C28" s="24" t="s">
        <v>147</v>
      </c>
    </row>
    <row r="29" customFormat="false" ht="18.75" hidden="false" customHeight="true" outlineLevel="0" collapsed="false">
      <c r="B29" s="5" t="s">
        <v>148</v>
      </c>
      <c r="C29" s="5"/>
      <c r="D29" s="5"/>
      <c r="E29" s="5"/>
      <c r="F29" s="5"/>
    </row>
    <row r="30" customFormat="false" ht="15" hidden="false" customHeight="false" outlineLevel="0" collapsed="false">
      <c r="B30" s="6" t="s">
        <v>149</v>
      </c>
      <c r="E30" s="18" t="n">
        <f aca="false">E14</f>
        <v>13000</v>
      </c>
    </row>
    <row r="31" customFormat="false" ht="15" hidden="false" customHeight="false" outlineLevel="0" collapsed="false">
      <c r="B31" s="6" t="s">
        <v>150</v>
      </c>
      <c r="E31" s="18" t="n">
        <f aca="false">E20</f>
        <v>0</v>
      </c>
    </row>
    <row r="32" customFormat="false" ht="15" hidden="false" customHeight="false" outlineLevel="0" collapsed="false">
      <c r="B32" s="6" t="s">
        <v>151</v>
      </c>
      <c r="E32" s="18" t="n">
        <f aca="false">E24</f>
        <v>960</v>
      </c>
    </row>
    <row r="33" customFormat="false" ht="15" hidden="false" customHeight="false" outlineLevel="0" collapsed="false">
      <c r="B33" s="6" t="s">
        <v>208</v>
      </c>
      <c r="E33" s="18" t="n">
        <f aca="false">E27</f>
        <v>400</v>
      </c>
    </row>
    <row r="34" customFormat="false" ht="15" hidden="false" customHeight="false" outlineLevel="0" collapsed="false">
      <c r="B34" s="15" t="s">
        <v>153</v>
      </c>
      <c r="C34" s="17"/>
      <c r="D34" s="17"/>
      <c r="E34" s="16" t="n">
        <f aca="false">SUM(E30:E33)</f>
        <v>14360</v>
      </c>
      <c r="F34" s="17"/>
    </row>
    <row r="35" customFormat="false" ht="15" hidden="false" customHeight="false" outlineLevel="0" collapsed="false">
      <c r="B35" s="6" t="s">
        <v>154</v>
      </c>
      <c r="E35" s="18" t="n">
        <f aca="false">E34*Настройки!$C$8</f>
        <v>1129.90231917061</v>
      </c>
    </row>
    <row r="36" customFormat="false" ht="15" hidden="false" customHeight="false" outlineLevel="0" collapsed="false">
      <c r="B36" s="15" t="s">
        <v>155</v>
      </c>
      <c r="C36" s="17"/>
      <c r="D36" s="17"/>
      <c r="E36" s="16" t="n">
        <f aca="false">E34+E35</f>
        <v>15489.9023191706</v>
      </c>
      <c r="F36" s="17"/>
    </row>
    <row r="37" customFormat="false" ht="15" hidden="false" customHeight="false" outlineLevel="0" collapsed="false">
      <c r="B37" s="6" t="s">
        <v>156</v>
      </c>
      <c r="E37" s="18" t="n">
        <f aca="false">E36*Настройки!$C$9</f>
        <v>4646.97069575118</v>
      </c>
    </row>
    <row r="38" customFormat="false" ht="15" hidden="false" customHeight="false" outlineLevel="0" collapsed="false">
      <c r="B38" s="6" t="s">
        <v>157</v>
      </c>
      <c r="E38" s="18" t="n">
        <f aca="false">E36+E37</f>
        <v>20136.8730149218</v>
      </c>
    </row>
    <row r="39" customFormat="false" ht="15" hidden="false" customHeight="false" outlineLevel="0" collapsed="false">
      <c r="B39" s="6" t="s">
        <v>158</v>
      </c>
      <c r="E39" s="18" t="n">
        <f aca="false">IF(C28="ДА",E38*Настройки!$C$10,0)</f>
        <v>0</v>
      </c>
    </row>
    <row r="40" customFormat="false" ht="24" hidden="false" customHeight="true" outlineLevel="0" collapsed="false">
      <c r="B40" s="28" t="s">
        <v>159</v>
      </c>
      <c r="C40" s="28"/>
      <c r="D40" s="28"/>
      <c r="E40" s="29" t="n">
        <f aca="false">ROUNDUP((E38+E39)/Настройки!$C$27,0)*Настройки!$C$27</f>
        <v>20500</v>
      </c>
      <c r="F40" s="29"/>
    </row>
    <row r="42" customFormat="false" ht="18.75" hidden="false" customHeight="true" outlineLevel="0" collapsed="false">
      <c r="B42" s="5" t="s">
        <v>160</v>
      </c>
      <c r="C42" s="5"/>
      <c r="D42" s="5"/>
      <c r="E42" s="5"/>
      <c r="F42" s="5"/>
    </row>
    <row r="43" customFormat="false" ht="15" hidden="false" customHeight="false" outlineLevel="0" collapsed="false">
      <c r="B43" s="6" t="s">
        <v>161</v>
      </c>
      <c r="E43" s="18" t="n">
        <f aca="false">E40*Настройки!$C$12</f>
        <v>1230</v>
      </c>
    </row>
    <row r="44" customFormat="false" ht="15" hidden="false" customHeight="false" outlineLevel="0" collapsed="false">
      <c r="B44" s="6" t="s">
        <v>162</v>
      </c>
      <c r="E44" s="18" t="n">
        <f aca="false">E32+E33</f>
        <v>1360</v>
      </c>
    </row>
    <row r="45" customFormat="false" ht="15" hidden="false" customHeight="false" outlineLevel="0" collapsed="false">
      <c r="B45" s="6" t="s">
        <v>163</v>
      </c>
      <c r="E45" s="18" t="n">
        <f aca="false">E35</f>
        <v>1129.90231917061</v>
      </c>
    </row>
    <row r="46" customFormat="false" ht="24" hidden="false" customHeight="true" outlineLevel="0" collapsed="false">
      <c r="B46" s="30" t="s">
        <v>164</v>
      </c>
      <c r="C46" s="30"/>
      <c r="D46" s="30"/>
      <c r="E46" s="31" t="n">
        <f aca="false">E40-E43-E44-E45</f>
        <v>16780.0976808294</v>
      </c>
      <c r="F46" s="31"/>
    </row>
    <row r="48" customFormat="false" ht="18.75" hidden="false" customHeight="true" outlineLevel="0" collapsed="false">
      <c r="B48" s="5" t="s">
        <v>165</v>
      </c>
      <c r="C48" s="5"/>
      <c r="D48" s="5"/>
      <c r="E48" s="5"/>
      <c r="F48" s="5"/>
    </row>
    <row r="49" customFormat="false" ht="15" hidden="false" customHeight="false" outlineLevel="0" collapsed="false">
      <c r="B49" s="6" t="s">
        <v>166</v>
      </c>
      <c r="C49" s="18" t="n">
        <f aca="false">INDEX('Рынок ЯО'!$C$4:$C$9,MATCH(IF(C5="Квартира (новостройка)","Осмотр — Квартира (новостройка)",IF(C5="Квартира (вторичка)","Осмотр — Квартира (вторичка)",IF(C5="Нежилое помещение","Осмотр — Нежилое помещение","Осмотр — Частный дом"))),'Рынок ЯО'!$B$4:$B$9,0))</f>
        <v>15000</v>
      </c>
      <c r="D49" s="32" t="s">
        <v>84</v>
      </c>
      <c r="E49" s="18" t="n">
        <f aca="false">INDEX('Рынок ЯО'!$D$4:$D$9,MATCH(IF(C5="Квартира (новостройка)","Осмотр — Квартира (новостройка)",IF(C5="Квартира (вторичка)","Осмотр — Квартира (вторичка)",IF(C5="Нежилое помещение","Осмотр — Нежилое помещение","Осмотр — Частный дом"))),'Рынок ЯО'!$B$4:$B$9,0))</f>
        <v>30000</v>
      </c>
    </row>
    <row r="50" customFormat="false" ht="15" hidden="false" customHeight="false" outlineLevel="0" collapsed="false">
      <c r="B50" s="6" t="s">
        <v>167</v>
      </c>
      <c r="E50" s="33" t="str">
        <f aca="false">IF(E40&lt;C49,"ниже рынка",IF(E40&gt;E49,"ВЫШЕ рынка","в рынке"))</f>
        <v>в рынке</v>
      </c>
    </row>
    <row r="51" customFormat="false" ht="15" hidden="false" customHeight="false" outlineLevel="0" collapsed="false">
      <c r="B51" s="6" t="s">
        <v>168</v>
      </c>
      <c r="E51" s="34" t="n">
        <f aca="false">E46/D14</f>
        <v>1290.77674467918</v>
      </c>
    </row>
  </sheetData>
  <mergeCells count="14">
    <mergeCell ref="B1:F1"/>
    <mergeCell ref="B2:F2"/>
    <mergeCell ref="B4:F4"/>
    <mergeCell ref="B8:F8"/>
    <mergeCell ref="B15:F15"/>
    <mergeCell ref="B21:F21"/>
    <mergeCell ref="B25:F25"/>
    <mergeCell ref="B29:F29"/>
    <mergeCell ref="B40:D40"/>
    <mergeCell ref="E40:F40"/>
    <mergeCell ref="B42:F42"/>
    <mergeCell ref="B46:D46"/>
    <mergeCell ref="E46:F46"/>
    <mergeCell ref="B48:F48"/>
  </mergeCells>
  <dataValidations count="2">
    <dataValidation allowBlank="false" errorStyle="stop" operator="between" showDropDown="false" showErrorMessage="false" showInputMessage="false" sqref="C16:C19 C28" type="list">
      <formula1>"ДА,НЕТ"</formula1>
      <formula2>0</formula2>
    </dataValidation>
    <dataValidation allowBlank="false" errorStyle="stop" operator="between" showDropDown="false" showErrorMessage="false" showInputMessage="false" sqref="C5" type="list">
      <formula1>"Квартира (новостройка),Квартира (вторичка),Частный дом,Нежилое помещение"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2026-08-09T16:29:46Z</dcterms:created>
  <dc:creator>openpyxl</dc:creator>
  <dc:description/>
  <dc:language>en-US</dc:language>
  <cp:lastModifiedBy>Роман В</cp:lastModifiedBy>
  <dcterms:modified xsi:type="dcterms:W3CDTF">2026-10-11T18:24:40Z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